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lcgarcia_ntnu_no/Documents/paperTwo/"/>
    </mc:Choice>
  </mc:AlternateContent>
  <xr:revisionPtr revIDLastSave="0" documentId="8_{23ACDA44-96E7-4B8C-A8BA-483C978221DB}" xr6:coauthVersionLast="47" xr6:coauthVersionMax="47" xr10:uidLastSave="{00000000-0000-0000-0000-000000000000}"/>
  <bookViews>
    <workbookView xWindow="-120" yWindow="-120" windowWidth="29040" windowHeight="15720" xr2:uid="{600E25B5-D7A3-4AC9-BD7E-6BF5FA5D2FE6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3" i="1" l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<sst xmlns="http://schemas.openxmlformats.org/spreadsheetml/2006/main" count="555" uniqueCount="196">
  <si>
    <t>0001aa41-e3e4-40a0-9193-9a5c81c627bf</t>
  </si>
  <si>
    <t>obis</t>
  </si>
  <si>
    <t>Polychaeta distribution data from: Deep-sea fauna of European seas - an annotated species check-list of benthic invertebrates living deeper than 2000 m in the seas bordering Europe</t>
  </si>
  <si>
    <t>00f47c38-6233-4d6c-bd93-67a771ab6224</t>
  </si>
  <si>
    <t>021366ac-62e5-4acc-a439-4c37b3288d87</t>
  </si>
  <si>
    <t>gbif</t>
  </si>
  <si>
    <t>0214a6a7-898f-4ee8-b888-0be60ecde81f</t>
  </si>
  <si>
    <t>02d5c4ed-d372-474a-8166-e79d341ea04e</t>
  </si>
  <si>
    <t>02f57aa9-12ae-4c8c-9d9f-f8b3245cf31a</t>
  </si>
  <si>
    <t>040c5662-da76-4782-a48e-cdea1892d14c</t>
  </si>
  <si>
    <t>062b1492-5e8a-4b56-89f9-300bc06bba5d</t>
  </si>
  <si>
    <t>090cef88-1d5d-4e20-8793-eed1156970f8</t>
  </si>
  <si>
    <t>0912e81c-c5ac-4a53-b719-a9ae6535f895</t>
  </si>
  <si>
    <t>09e310a9-52d2-4a5b-8c1c-043fe67bdbbf</t>
  </si>
  <si>
    <t>0adbb185-f6f6-4015-ab4c-c28c3812127e</t>
  </si>
  <si>
    <t>0c1cb7e9-c7d1-4643-b245-daa8839a183f</t>
  </si>
  <si>
    <t>0ce9fc33-d200-43da-8340-697b09610f74</t>
  </si>
  <si>
    <t>131ffe09-2aa2-4323-b467-7774ef0be0eb</t>
  </si>
  <si>
    <t>Marine invertebrates registered on the Nansen Legacy JC3 Winter Gaps cruise 19th February - 11th March 2022</t>
  </si>
  <si>
    <t>14ac1d06-c192-44fc-8a97-cc2eb7623133</t>
  </si>
  <si>
    <t>14fa3c3e-259c-4af9-9314-eee1dc3a119b</t>
  </si>
  <si>
    <t>152259dc-9c20-4c1a-9644-8e4b509d4f73</t>
  </si>
  <si>
    <t>1a8e24f2-98dd-4028-9a6a-66539db4e2ef</t>
  </si>
  <si>
    <t>1aaec653-c71c-4695-9b6e-0e26214dd817</t>
  </si>
  <si>
    <t>1bcef367-cb04-4cf6-ab1e-eab1c2b0172a</t>
  </si>
  <si>
    <t>1ed9312d-76f1-4c66-80fa-a7b633a2f0d1</t>
  </si>
  <si>
    <t>1f80810b-54d9-4b5e-bd63-3fb9736c2f46</t>
  </si>
  <si>
    <t>1ff05317-283d-474a-b72b-078b87c5ed55</t>
  </si>
  <si>
    <t>1ff0c3ee-06b7-4a88-ac94-bd7cf2df840f</t>
  </si>
  <si>
    <t>229be5b0-ef0c-48e4-aea2-6f8e9b449692</t>
  </si>
  <si>
    <t>2372eba1-a784-48a3-980e-ae7798f12c7d</t>
  </si>
  <si>
    <t>26de959f-8916-43cf-9472-170c28358a8e</t>
  </si>
  <si>
    <t>2a570f00-86e1-46ca-bfb6-7dd077e66004</t>
  </si>
  <si>
    <t>2b75ad47-cee7-490f-ba9a-b7c0d499d583</t>
  </si>
  <si>
    <t>2ec0fd46-8901-414d-b187-ccfaab90ba64</t>
  </si>
  <si>
    <t>2f7c33b3-ea7a-40ac-a3b7-bace96f978f7</t>
  </si>
  <si>
    <t>2fd06604-7d20-4712-9f68-eae9ae336bb5</t>
  </si>
  <si>
    <t>321fa1e2-a69f-49d2-be57-b6d1368ab1f5</t>
  </si>
  <si>
    <t>339e9664-56f6-4174-a32e-c00ce3e5d60a</t>
  </si>
  <si>
    <t>3470d506-e667-4e3f-b178-819669684c05</t>
  </si>
  <si>
    <t>34ed3819-a996-47ad-bc36-ee0a8471a57d</t>
  </si>
  <si>
    <t>37497bf7-31a0-4fd5-9591-2b47004f5ab9</t>
  </si>
  <si>
    <t>3b00bf46-5fb6-49fc-bf89-5bde09fb63ac</t>
  </si>
  <si>
    <t>3bb7e2f5-7d2d-42e8-b2b4-07439ccf9053</t>
  </si>
  <si>
    <t>3e5116b3-e1eb-4c96-b8f8-f8383631d8fd</t>
  </si>
  <si>
    <t>3ed891d2-ae3c-45a6-a27f-e9f0a9f4b8c1</t>
  </si>
  <si>
    <t>3fc4ed1b-9026-47a9-857f-f6543c444874</t>
  </si>
  <si>
    <t>403fabe5-b960-4dc3-9e13-32f479a0b798</t>
  </si>
  <si>
    <t>4098c432-a6b6-4cbf-9d81-ac29ba03add9</t>
  </si>
  <si>
    <t>48125541-00d5-498e-af76-9472e51c459c</t>
  </si>
  <si>
    <t>492d63a8-4978-4bc7-acd8-7d0e3ac0e744</t>
  </si>
  <si>
    <t>4bfac3ea-8763-4f4b-a71a-76a6f5f243d3</t>
  </si>
  <si>
    <t>4d0b1b2a-3209-49ce-bb93-7503e4868019</t>
  </si>
  <si>
    <t>4e6a1cb8-7599-4c60-b588-d18ec2c060ee</t>
  </si>
  <si>
    <t>4f5a16d8-0503-4452-af87-fa70b97721ef</t>
  </si>
  <si>
    <t>4f8b0628-7833-46e6-8871-9a50922b4665</t>
  </si>
  <si>
    <t>50c9509d-22c7-4a22-a47d-8c48425ef4a7</t>
  </si>
  <si>
    <t>52076a40-4d20-4ebc-8e08-3c47adb388eb</t>
  </si>
  <si>
    <t>55c65f67-b547-4752-a0cf-a4ef339a020e</t>
  </si>
  <si>
    <t>55fdf3b0-744a-4a29-a81e-7d9884be1a91</t>
  </si>
  <si>
    <t>55fe88ac-f76a-40c5-b529-037b460a5771</t>
  </si>
  <si>
    <t>56aa0680-0c60-11dd-84cd-b8a03c50a862</t>
  </si>
  <si>
    <t>58fc397b-eee4-4138-8a5f-50f9dfb00216</t>
  </si>
  <si>
    <t>61137d30-c560-4309-b278-b2e5aebce92f</t>
  </si>
  <si>
    <t>628600f7-1580-4c0e-b1b3-acb5c5613966</t>
  </si>
  <si>
    <t>62df6800-27f8-4f7a-bd8f-5ff82893b841</t>
  </si>
  <si>
    <t>64a8e85e-f762-11e1-a439-00145eb45e9a</t>
  </si>
  <si>
    <t>66fe7e4b-ddcc-44aa-8378-c7c7482c2844</t>
  </si>
  <si>
    <t>6bae1725-5a4d-4e69-8ac2-968a7f091124</t>
  </si>
  <si>
    <t>6c7d1ea7-6586-46f9-a3b4-714f249cd838</t>
  </si>
  <si>
    <t>6fe40051-d4f4-44ac-ae2c-ba5281293174</t>
  </si>
  <si>
    <t>7040ba16-47f5-439f-96a3-95f45f41eb72</t>
  </si>
  <si>
    <t>705770e5-3474-4e69-be8b-3107a0c5610a</t>
  </si>
  <si>
    <t>710e76ea-f762-11e1-a439-00145eb45e9a</t>
  </si>
  <si>
    <t>7137155d-f555-449c-9a9b-28af6f17c4a4</t>
  </si>
  <si>
    <t>771ca2ae-f336-495f-8a11-b700c0118454</t>
  </si>
  <si>
    <t>77e91a4f-7b9d-458d-b585-298aa1ef41f8</t>
  </si>
  <si>
    <t>784367b4-ff7a-49bf-af68-041daaa19ba2</t>
  </si>
  <si>
    <t>79c59307-5753-4ad6-a1a3-44e920a91bb3</t>
  </si>
  <si>
    <t>7a184e2e-1307-4473-afeb-6355a01b89d6</t>
  </si>
  <si>
    <t>7c4621d3-7b86-4c99-a14e-ff8b3fce5c10</t>
  </si>
  <si>
    <t>7c6b6f36-ecab-4ac7-b72c-30e8f501d06f</t>
  </si>
  <si>
    <t>7d3fbc21-38f9-43b5-98d4-1ed7c65f7103</t>
  </si>
  <si>
    <t>7e380070-f762-11e1-a439-00145eb45e9a</t>
  </si>
  <si>
    <t>7f29f74a-f762-11e1-a439-00145eb45e9a</t>
  </si>
  <si>
    <t>7fcf1da7-2c7a-4e69-a60d-efa5f0b4ec77</t>
  </si>
  <si>
    <t>80479e14-2730-436d-acaa-b63bdc7dd06f</t>
  </si>
  <si>
    <t>8138eb72-f762-11e1-a439-00145eb45e9a</t>
  </si>
  <si>
    <t>8235c206-82a0-460f-aa10-503071b1785f</t>
  </si>
  <si>
    <t>8294e09b-b09e-44da-8264-f77bdd3ac6f6</t>
  </si>
  <si>
    <t>84b72ee4-f762-11e1-a439-00145eb45e9a</t>
  </si>
  <si>
    <t>84b9a51f-ec2e-41dc-9d7a-1e3aa411b939</t>
  </si>
  <si>
    <t>84dbaec2-f762-11e1-a439-00145eb45e9a</t>
  </si>
  <si>
    <t>85b0b9ce-1fac-46a6-ac25-c4ea3645b7af</t>
  </si>
  <si>
    <t>86453e9e-24f5-47b1-b442-b6f86a9979b7</t>
  </si>
  <si>
    <t>European Seabirds At Sea (ESAS)</t>
  </si>
  <si>
    <t>87c488ac-f762-11e1-a439-00145eb45e9a</t>
  </si>
  <si>
    <t>885eb576-f762-11e1-a439-00145eb45e9a</t>
  </si>
  <si>
    <t>88bb5351-cbed-4448-abf8-fdeae8b1abaf</t>
  </si>
  <si>
    <t>89fd9e80-3053-44e8-a141-25682f59f9a6</t>
  </si>
  <si>
    <t>8bf9890c-58a5-4aef-a34f-dafa6fe407e3</t>
  </si>
  <si>
    <t>8c30ff06-3b02-4f53-8f02-a0f6de1f7e71</t>
  </si>
  <si>
    <t>8e8fa6e1-42c5-4793-bb2d-1ec67b670787</t>
  </si>
  <si>
    <t>8f3081d6-42e6-44df-972a-a5c0c991f3ca</t>
  </si>
  <si>
    <t>90a2d1c2-f762-11e1-a439-00145eb45e9a</t>
  </si>
  <si>
    <t>90aae916-f762-11e1-a439-00145eb45e9a</t>
  </si>
  <si>
    <t>93c8cc03-30cf-474e-8173-dbe5a22a5d28</t>
  </si>
  <si>
    <t>94e705f0-f762-11e1-a439-00145eb45e9a</t>
  </si>
  <si>
    <t>95004632-f762-11e1-a439-00145eb45e9a</t>
  </si>
  <si>
    <t>950196f4-f762-11e1-a439-00145eb45e9a</t>
  </si>
  <si>
    <t>95e464b4-e286-414b-9c59-6fdc9a4afc14</t>
  </si>
  <si>
    <t>9631e56a-f762-11e1-a439-00145eb45e9a</t>
  </si>
  <si>
    <t>965e401a-f762-11e1-a439-00145eb45e9a</t>
  </si>
  <si>
    <t>9668b676-f762-11e1-a439-00145eb45e9a</t>
  </si>
  <si>
    <t>97169dfa-325b-4c1e-af91-3ef023f8a498</t>
  </si>
  <si>
    <t>97c87ac4-f762-11e1-a439-00145eb45e9a</t>
  </si>
  <si>
    <t>97c9d45a-f762-11e1-a439-00145eb45e9a</t>
  </si>
  <si>
    <t>99006141-bf02-4821-8e6e-5818a1cbf70a</t>
  </si>
  <si>
    <t>9aef1508-dfcf-447e-bb4a-cf6ee66832eb</t>
  </si>
  <si>
    <t>9afe0ed9-4d76-4325-a3ef-45714dc8afe7</t>
  </si>
  <si>
    <t>9cdfd6cb-b1b0-4534-bdb0-a50a0e68076a</t>
  </si>
  <si>
    <t>9e4137ee-6d4d-4eda-b17c-e132085e6a11</t>
  </si>
  <si>
    <t>a004778c-d113-479e-a77f-990041283a51</t>
  </si>
  <si>
    <t>a00e14eb-3398-4c40-87f6-41e78081e7ef</t>
  </si>
  <si>
    <t>a29805e7-cfe2-4fcd-8510-0373ea480e16</t>
  </si>
  <si>
    <t>a449c6d1-7a79-4b84-a31d-028a3a70b0cb</t>
  </si>
  <si>
    <t>a6f63e2a-5e06-4198-9306-e2a916454761</t>
  </si>
  <si>
    <t>b0259f44-7a0a-4bb7-96f7-601567ce7da5</t>
  </si>
  <si>
    <t>b0a7add2-dd9e-4020-9ca4-5df048c8f6a2</t>
  </si>
  <si>
    <t>b124e1e0-4755-430f-9eab-894f25a9b59c</t>
  </si>
  <si>
    <t>b1363fbb-afec-4dc7-85b6-39b8a5ebb55c</t>
  </si>
  <si>
    <t>b33ca13f-fbd6-415e-9e29-72e227610a45</t>
  </si>
  <si>
    <t>b54343b5-f728-4394-ab68-89bc6f209310</t>
  </si>
  <si>
    <t>b74b429a-4052-4f5b-bff3-fe0b5a2e8669</t>
  </si>
  <si>
    <t>ba20df08-d873-4738-931d-a595126eb822</t>
  </si>
  <si>
    <t>baa7d7c9-8b9b-4378-91fb-b82522dfbf32</t>
  </si>
  <si>
    <t>bed78790-cbec-44af-82af-fe78e9692287</t>
  </si>
  <si>
    <t>bfa5e693-7ed4-456c-a276-1a9807d6f27a</t>
  </si>
  <si>
    <t>c05b97bc-e172-40e9-9d42-9df0f93a6e65</t>
  </si>
  <si>
    <t>c0c05803-63d7-434d-b7f6-db638d57ab36</t>
  </si>
  <si>
    <t>c2e10b6c-52b2-45d7-819a-66383fb6dfd6</t>
  </si>
  <si>
    <t>c4041add-8d3f-432b-b3c3-7e82024b798f</t>
  </si>
  <si>
    <t>c4db5fd0-e2b6-4737-995e-d895bc596d86</t>
  </si>
  <si>
    <t>c684e21e-eed5-4c0b-9d5e-028c08d9d893</t>
  </si>
  <si>
    <t>c8b5aeb8-e98b-4359-906f-5f5ec53777f6</t>
  </si>
  <si>
    <t>ICES Eggs and larvae</t>
  </si>
  <si>
    <t>cc2031d1-395d-4052-8ce1-796a08c3dbf2</t>
  </si>
  <si>
    <t>cd1f299a-929a-4a51-b59e-bd5417d65d9c</t>
  </si>
  <si>
    <t>cdf3886e-edc7-41f9-9d84-6d9e83f60971</t>
  </si>
  <si>
    <t>ce697b4c-7803-47d8-81bd-5a172f4960b5</t>
  </si>
  <si>
    <t>d08d1487-0429-4912-89b8-75ffe764ffd9</t>
  </si>
  <si>
    <t>d20ea853-b19c-4a08-aebb-e5d2fe9e65c0</t>
  </si>
  <si>
    <t>d30a617e-cac3-470c-a070-601376f45d6b</t>
  </si>
  <si>
    <t>d38feefc-41b2-4ff9-b934-b96883e8fa28</t>
  </si>
  <si>
    <t>d556b9d4-7625-4aa2-894d-441eabae47f7</t>
  </si>
  <si>
    <t>d707f7a6-c028-45c5-82ff-e1a22f9ddfe6</t>
  </si>
  <si>
    <t>d734bf6d-1206-4969-bc62-389a6b9bd91f</t>
  </si>
  <si>
    <t>d8cd16ba-bb74-4420-821e-083f2bac17c2</t>
  </si>
  <si>
    <t>d94f3ea4-4519-4eb0-9d03-5cfc1caab13f</t>
  </si>
  <si>
    <t>d962a7dc-2183-4824-bb88-5e0ba14ec62d</t>
  </si>
  <si>
    <t>da6a07ed-9eee-460d-9448-910f542c1a7b</t>
  </si>
  <si>
    <t>db2cd6fc-a7d5-43ad-b944-8a663d57ae73</t>
  </si>
  <si>
    <t>dc780d9c-9d52-43e0-af26-98ab6a1c3eb3</t>
  </si>
  <si>
    <t>e2c4a839-89b5-484f-a63c-df89c2f9f974</t>
  </si>
  <si>
    <t>e36e3421-8bc9-47e2-aa60-7e367a889397</t>
  </si>
  <si>
    <t>e45ea07f-d054-4129-9552-f0c9e6af4019</t>
  </si>
  <si>
    <t>e7f1c38e-2a85-4c6e-80aa-d052766a916f</t>
  </si>
  <si>
    <t>e815809e-fcb5-4ee7-8edd-639aa4b4892d</t>
  </si>
  <si>
    <t>e8f6f42e-0e33-4382-9998-9a178eac3191</t>
  </si>
  <si>
    <t>ead6339f-39f8-46be-b059-d1c48d88ab29</t>
  </si>
  <si>
    <t>ec12f461-df32-4c8a-b621-0abd1f6cdab3</t>
  </si>
  <si>
    <t>ef9a5f87-8a87-4a81-8c82-16194b055935</t>
  </si>
  <si>
    <t>f2ec825d-145a-42fd-9bfe-a411a557bc47</t>
  </si>
  <si>
    <t>f3d7798e-7bf2-4b85-8ed4-18f2c1849d7d</t>
  </si>
  <si>
    <t>f49dd893-1e91-4ce6-9aa7-e1047ffee557</t>
  </si>
  <si>
    <t>f58922e2-93ed-4703-ba22-12a0674d1b54</t>
  </si>
  <si>
    <t>f7677584-eb01-44ca-96f9-a334381034fa</t>
  </si>
  <si>
    <t>f7d8aa43-cdfe-4be2-82a6-88ee33c5c60c</t>
  </si>
  <si>
    <t>fbe20230-f4f1-48e7-83ee-4cd3ad15a1db</t>
  </si>
  <si>
    <t>https://marineinfo.org/id/dataset/1172</t>
  </si>
  <si>
    <t>emodnet</t>
  </si>
  <si>
    <t>https://marineinfo.org/id/dataset/2</t>
  </si>
  <si>
    <t>https://marineinfo.org/id/dataset/2739</t>
  </si>
  <si>
    <t>https://marineinfo.org/id/dataset/4524</t>
  </si>
  <si>
    <t>https://marineinfo.org/id/dataset/5184</t>
  </si>
  <si>
    <t>https://marineinfo.org/id/dataset/5647</t>
  </si>
  <si>
    <t>https://marineinfo.org/id/dataset/5991</t>
  </si>
  <si>
    <t>https://marineinfo.org/id/dataset/6513</t>
  </si>
  <si>
    <t>https://marineinfo.org/id/dataset/6707</t>
  </si>
  <si>
    <t>Source database</t>
  </si>
  <si>
    <t>Dataset ID</t>
  </si>
  <si>
    <t>Index</t>
  </si>
  <si>
    <t>Dataset name</t>
  </si>
  <si>
    <t>Data type</t>
  </si>
  <si>
    <t>Structured dataset</t>
  </si>
  <si>
    <t>Occurrence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</si>
</sst>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1" fontId="0" fillId="0" borderId="0" xfId="0" applyNumberFormat="1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levantDatasets.xlsx" TargetMode="External"/><Relationship Id="rId2" Type="http://schemas.openxmlformats.org/officeDocument/2006/relationships/externalLinkPath" Target="https://studntnu-my.sharepoint.com/personal/lcgarcia_ntnu_no/Documents/relevantDatasets.xlsx" TargetMode="External"/><Relationship Id="rId1" Type="http://schemas.openxmlformats.org/officeDocument/2006/relationships/externalLinkPath" Target="/personal/lcgarcia_ntnu_no/Documents/relevantDatas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setSummary"/>
      <sheetName val="datasetSummary (preliminary)"/>
      <sheetName val="QA"/>
      <sheetName val="Museums and forams"/>
      <sheetName val="obisUUIDs"/>
      <sheetName val="compareCoding n selectCriteria"/>
      <sheetName val="Cores - Forams 0-500yr"/>
      <sheetName val="Cores - Forams 500-1000yr"/>
      <sheetName val="Cores - Forams more than 1ky"/>
      <sheetName val="Cores Forams and diatoms no age"/>
      <sheetName val="Sediment traps"/>
      <sheetName val="ExamplePA1"/>
      <sheetName val="ExamplePA2"/>
      <sheetName val="ExamplePA3"/>
    </sheetNames>
    <sheetDataSet>
      <sheetData sheetId="0">
        <row r="3">
          <cell r="B3" t="str">
            <v>00f47c38-6233-4d6c-bd93-67a771ab6224</v>
          </cell>
        </row>
        <row r="4">
          <cell r="B4" t="str">
            <v>021366ac-62e5-4acc-a439-4c37b3288d87</v>
          </cell>
        </row>
        <row r="5">
          <cell r="B5" t="str">
            <v>0214a6a7-898f-4ee8-b888-0be60ecde81f</v>
          </cell>
        </row>
        <row r="6">
          <cell r="B6" t="str">
            <v>02d5c4ed-d372-474a-8166-e79d341ea04e</v>
          </cell>
        </row>
        <row r="7">
          <cell r="B7" t="str">
            <v>02f57aa9-12ae-4c8c-9d9f-f8b3245cf31a</v>
          </cell>
        </row>
        <row r="8">
          <cell r="B8" t="str">
            <v>040c5662-da76-4782-a48e-cdea1892d14c</v>
          </cell>
        </row>
        <row r="9">
          <cell r="B9" t="str">
            <v>062b1492-5e8a-4b56-89f9-300bc06bba5d</v>
          </cell>
        </row>
        <row r="10">
          <cell r="B10" t="str">
            <v>090cef88-1d5d-4e20-8793-eed1156970f8</v>
          </cell>
        </row>
        <row r="11">
          <cell r="B11" t="str">
            <v>0912e81c-c5ac-4a53-b719-a9ae6535f895</v>
          </cell>
        </row>
        <row r="12">
          <cell r="B12" t="str">
            <v>09e310a9-52d2-4a5b-8c1c-043fe67bdbbf</v>
          </cell>
        </row>
        <row r="13">
          <cell r="B13" t="str">
            <v>0adbb185-f6f6-4015-ab4c-c28c3812127e</v>
          </cell>
        </row>
        <row r="14">
          <cell r="B14" t="str">
            <v>0c1cb7e9-c7d1-4643-b245-daa8839a183f</v>
          </cell>
        </row>
        <row r="15">
          <cell r="B15" t="str">
            <v>0ce9fc33-d200-43da-8340-697b09610f74</v>
          </cell>
        </row>
        <row r="17">
          <cell r="B17" t="str">
            <v>14ac1d06-c192-44fc-8a97-cc2eb7623133</v>
          </cell>
        </row>
        <row r="18">
          <cell r="B18" t="str">
            <v>14fa3c3e-259c-4af9-9314-eee1dc3a119b</v>
          </cell>
        </row>
        <row r="19">
          <cell r="B19" t="str">
            <v>152259dc-9c20-4c1a-9644-8e4b509d4f73</v>
          </cell>
        </row>
        <row r="20">
          <cell r="B20" t="str">
            <v>1a8e24f2-98dd-4028-9a6a-66539db4e2ef</v>
          </cell>
        </row>
        <row r="21">
          <cell r="B21" t="str">
            <v>1aaec653-c71c-4695-9b6e-0e26214dd817</v>
          </cell>
        </row>
        <row r="22">
          <cell r="B22" t="str">
            <v>1bcef367-cb04-4cf6-ab1e-eab1c2b0172a</v>
          </cell>
        </row>
        <row r="23">
          <cell r="B23" t="str">
            <v>1ed9312d-76f1-4c66-80fa-a7b633a2f0d1</v>
          </cell>
        </row>
        <row r="24">
          <cell r="B24" t="str">
            <v>1f80810b-54d9-4b5e-bd63-3fb9736c2f46</v>
          </cell>
        </row>
        <row r="25">
          <cell r="B25" t="str">
            <v>1ff05317-283d-474a-b72b-078b87c5ed55</v>
          </cell>
        </row>
        <row r="26">
          <cell r="B26" t="str">
            <v>1ff0c3ee-06b7-4a88-ac94-bd7cf2df840f</v>
          </cell>
        </row>
        <row r="27">
          <cell r="B27" t="str">
            <v>229be5b0-ef0c-48e4-aea2-6f8e9b449692</v>
          </cell>
        </row>
        <row r="28">
          <cell r="B28" t="str">
            <v>2372eba1-a784-48a3-980e-ae7798f12c7d</v>
          </cell>
        </row>
        <row r="29">
          <cell r="B29" t="str">
            <v>26de959f-8916-43cf-9472-170c28358a8e</v>
          </cell>
        </row>
        <row r="30">
          <cell r="B30" t="str">
            <v>2a570f00-86e1-46ca-bfb6-7dd077e66004</v>
          </cell>
        </row>
        <row r="31">
          <cell r="B31" t="str">
            <v>2b75ad47-cee7-490f-ba9a-b7c0d499d583</v>
          </cell>
        </row>
        <row r="32">
          <cell r="B32" t="str">
            <v>2ec0fd46-8901-414d-b187-ccfaab90ba64</v>
          </cell>
        </row>
        <row r="33">
          <cell r="B33" t="str">
            <v>2f7c33b3-ea7a-40ac-a3b7-bace96f978f7</v>
          </cell>
        </row>
        <row r="34">
          <cell r="B34" t="str">
            <v>2fd06604-7d20-4712-9f68-eae9ae336bb5</v>
          </cell>
        </row>
        <row r="35">
          <cell r="B35" t="str">
            <v>321fa1e2-a69f-49d2-be57-b6d1368ab1f5</v>
          </cell>
        </row>
        <row r="36">
          <cell r="B36" t="str">
            <v>339e9664-56f6-4174-a32e-c00ce3e5d60a</v>
          </cell>
        </row>
        <row r="37">
          <cell r="B37" t="str">
            <v>3470d506-e667-4e3f-b178-819669684c05</v>
          </cell>
        </row>
        <row r="38">
          <cell r="B38" t="str">
            <v>34ed3819-a996-47ad-bc36-ee0a8471a57d</v>
          </cell>
        </row>
        <row r="39">
          <cell r="B39" t="str">
            <v>37497bf7-31a0-4fd5-9591-2b47004f5ab9</v>
          </cell>
        </row>
        <row r="40">
          <cell r="B40" t="str">
            <v>3b00bf46-5fb6-49fc-bf89-5bde09fb63ac</v>
          </cell>
        </row>
        <row r="41">
          <cell r="B41" t="str">
            <v>3bb7e2f5-7d2d-42e8-b2b4-07439ccf9053</v>
          </cell>
        </row>
        <row r="42">
          <cell r="B42" t="str">
            <v>3e5116b3-e1eb-4c96-b8f8-f8383631d8fd</v>
          </cell>
        </row>
        <row r="43">
          <cell r="B43" t="str">
            <v>3ed891d2-ae3c-45a6-a27f-e9f0a9f4b8c1</v>
          </cell>
        </row>
        <row r="44">
          <cell r="B44" t="str">
            <v>3fc4ed1b-9026-47a9-857f-f6543c444874</v>
          </cell>
        </row>
        <row r="45">
          <cell r="B45" t="str">
            <v>403fabe5-b960-4dc3-9e13-32f479a0b798</v>
          </cell>
        </row>
        <row r="46">
          <cell r="B46" t="str">
            <v>4098c432-a6b6-4cbf-9d81-ac29ba03add9</v>
          </cell>
        </row>
        <row r="47">
          <cell r="B47" t="str">
            <v>48125541-00d5-498e-af76-9472e51c459c</v>
          </cell>
        </row>
        <row r="48">
          <cell r="B48" t="str">
            <v>492d63a8-4978-4bc7-acd8-7d0e3ac0e744</v>
          </cell>
        </row>
        <row r="49">
          <cell r="B49" t="str">
            <v>4bfac3ea-8763-4f4b-a71a-76a6f5f243d3</v>
          </cell>
        </row>
        <row r="50">
          <cell r="B50" t="str">
            <v>4d0b1b2a-3209-49ce-bb93-7503e4868019</v>
          </cell>
        </row>
        <row r="51">
          <cell r="B51" t="str">
            <v>4e6a1cb8-7599-4c60-b588-d18ec2c060ee</v>
          </cell>
        </row>
        <row r="52">
          <cell r="B52" t="str">
            <v>4f5a16d8-0503-4452-af87-fa70b97721ef</v>
          </cell>
        </row>
        <row r="53">
          <cell r="B53" t="str">
            <v>4f8b0628-7833-46e6-8871-9a50922b4665</v>
          </cell>
        </row>
        <row r="54">
          <cell r="B54" t="str">
            <v>50c9509d-22c7-4a22-a47d-8c48425ef4a7</v>
          </cell>
        </row>
        <row r="55">
          <cell r="B55" t="str">
            <v>52076a40-4d20-4ebc-8e08-3c47adb388eb</v>
          </cell>
        </row>
        <row r="56">
          <cell r="B56" t="str">
            <v>55c65f67-b547-4752-a0cf-a4ef339a020e</v>
          </cell>
        </row>
        <row r="57">
          <cell r="B57" t="str">
            <v>55fdf3b0-744a-4a29-a81e-7d9884be1a91</v>
          </cell>
        </row>
        <row r="58">
          <cell r="B58" t="str">
            <v>55fe88ac-f76a-40c5-b529-037b460a5771</v>
          </cell>
        </row>
        <row r="59">
          <cell r="B59" t="str">
            <v>56aa0680-0c60-11dd-84cd-b8a03c50a862</v>
          </cell>
        </row>
        <row r="60">
          <cell r="B60" t="str">
            <v>58fc397b-eee4-4138-8a5f-50f9dfb00216</v>
          </cell>
        </row>
        <row r="61">
          <cell r="B61" t="str">
            <v>61137d30-c560-4309-b278-b2e5aebce92f</v>
          </cell>
        </row>
        <row r="62">
          <cell r="B62" t="str">
            <v>628600f7-1580-4c0e-b1b3-acb5c5613966</v>
          </cell>
        </row>
        <row r="63">
          <cell r="B63" t="str">
            <v>62df6800-27f8-4f7a-bd8f-5ff82893b841</v>
          </cell>
        </row>
        <row r="64">
          <cell r="B64" t="str">
            <v>64a8e85e-f762-11e1-a439-00145eb45e9a</v>
          </cell>
        </row>
        <row r="65">
          <cell r="B65" t="str">
            <v>66fe7e4b-ddcc-44aa-8378-c7c7482c2844</v>
          </cell>
        </row>
        <row r="66">
          <cell r="B66" t="str">
            <v>6bae1725-5a4d-4e69-8ac2-968a7f091124</v>
          </cell>
        </row>
        <row r="67">
          <cell r="B67" t="str">
            <v>6c7d1ea7-6586-46f9-a3b4-714f249cd838</v>
          </cell>
        </row>
        <row r="68">
          <cell r="B68" t="str">
            <v>6fe40051-d4f4-44ac-ae2c-ba5281293174</v>
          </cell>
        </row>
        <row r="69">
          <cell r="B69" t="str">
            <v>7040ba16-47f5-439f-96a3-95f45f41eb72</v>
          </cell>
        </row>
        <row r="70">
          <cell r="B70" t="str">
            <v>705770e5-3474-4e69-be8b-3107a0c5610a</v>
          </cell>
        </row>
        <row r="71">
          <cell r="B71" t="str">
            <v>710e76ea-f762-11e1-a439-00145eb45e9a</v>
          </cell>
        </row>
        <row r="72">
          <cell r="B72" t="str">
            <v>7137155d-f555-449c-9a9b-28af6f17c4a4</v>
          </cell>
        </row>
        <row r="73">
          <cell r="B73" t="str">
            <v>771ca2ae-f336-495f-8a11-b700c0118454</v>
          </cell>
        </row>
        <row r="74">
          <cell r="B74" t="str">
            <v>77e91a4f-7b9d-458d-b585-298aa1ef41f8</v>
          </cell>
        </row>
        <row r="75">
          <cell r="B75" t="str">
            <v>784367b4-ff7a-49bf-af68-041daaa19ba2</v>
          </cell>
        </row>
        <row r="76">
          <cell r="B76" t="str">
            <v>79c59307-5753-4ad6-a1a3-44e920a91bb3</v>
          </cell>
        </row>
        <row r="77">
          <cell r="B77" t="str">
            <v>7a184e2e-1307-4473-afeb-6355a01b89d6</v>
          </cell>
        </row>
        <row r="78">
          <cell r="B78" t="str">
            <v>7c4621d3-7b86-4c99-a14e-ff8b3fce5c10</v>
          </cell>
        </row>
        <row r="79">
          <cell r="B79" t="str">
            <v>7c6b6f36-ecab-4ac7-b72c-30e8f501d06f</v>
          </cell>
        </row>
        <row r="80">
          <cell r="B80" t="str">
            <v>7d3fbc21-38f9-43b5-98d4-1ed7c65f7103</v>
          </cell>
        </row>
        <row r="81">
          <cell r="B81" t="str">
            <v>7e380070-f762-11e1-a439-00145eb45e9a</v>
          </cell>
        </row>
        <row r="82">
          <cell r="B82" t="str">
            <v>7f29f74a-f762-11e1-a439-00145eb45e9a</v>
          </cell>
        </row>
        <row r="83">
          <cell r="B83" t="str">
            <v>7fcf1da7-2c7a-4e69-a60d-efa5f0b4ec77</v>
          </cell>
        </row>
        <row r="84">
          <cell r="B84" t="str">
            <v>80479e14-2730-436d-acaa-b63bdc7dd06f</v>
          </cell>
        </row>
        <row r="85">
          <cell r="B85" t="str">
            <v>8138eb72-f762-11e1-a439-00145eb45e9a</v>
          </cell>
        </row>
        <row r="86">
          <cell r="B86" t="str">
            <v>8235c206-82a0-460f-aa10-503071b1785f</v>
          </cell>
        </row>
        <row r="87">
          <cell r="B87" t="str">
            <v>8294e09b-b09e-44da-8264-f77bdd3ac6f6</v>
          </cell>
        </row>
        <row r="88">
          <cell r="B88" t="str">
            <v>84b72ee4-f762-11e1-a439-00145eb45e9a</v>
          </cell>
        </row>
        <row r="89">
          <cell r="B89" t="str">
            <v>84b9a51f-ec2e-41dc-9d7a-1e3aa411b939</v>
          </cell>
        </row>
        <row r="90">
          <cell r="B90" t="str">
            <v>84dbaec2-f762-11e1-a439-00145eb45e9a</v>
          </cell>
        </row>
        <row r="91">
          <cell r="B91" t="str">
            <v>85b0b9ce-1fac-46a6-ac25-c4ea3645b7af</v>
          </cell>
        </row>
        <row r="93">
          <cell r="B93" t="str">
            <v>87c488ac-f762-11e1-a439-00145eb45e9a</v>
          </cell>
        </row>
        <row r="94">
          <cell r="B94" t="str">
            <v>885eb576-f762-11e1-a439-00145eb45e9a</v>
          </cell>
        </row>
        <row r="95">
          <cell r="B95" t="str">
            <v>88bb5351-cbed-4448-abf8-fdeae8b1abaf</v>
          </cell>
        </row>
        <row r="96">
          <cell r="B96" t="str">
            <v>89fd9e80-3053-44e8-a141-25682f59f9a6</v>
          </cell>
        </row>
        <row r="97">
          <cell r="B97" t="str">
            <v>8bf9890c-58a5-4aef-a34f-dafa6fe407e3</v>
          </cell>
        </row>
        <row r="98">
          <cell r="B98" t="str">
            <v>8c30ff06-3b02-4f53-8f02-a0f6de1f7e71</v>
          </cell>
        </row>
        <row r="99">
          <cell r="B99" t="str">
            <v>8e8fa6e1-42c5-4793-bb2d-1ec67b670787</v>
          </cell>
        </row>
        <row r="100">
          <cell r="B100" t="str">
            <v>8f3081d6-42e6-44df-972a-a5c0c991f3ca</v>
          </cell>
        </row>
        <row r="101">
          <cell r="B101" t="str">
            <v>90a2d1c2-f762-11e1-a439-00145eb45e9a</v>
          </cell>
        </row>
        <row r="102">
          <cell r="B102" t="str">
            <v>90aae916-f762-11e1-a439-00145eb45e9a</v>
          </cell>
        </row>
        <row r="103">
          <cell r="B103" t="str">
            <v>93c8cc03-30cf-474e-8173-dbe5a22a5d28</v>
          </cell>
        </row>
        <row r="104">
          <cell r="B104" t="str">
            <v>94e705f0-f762-11e1-a439-00145eb45e9a</v>
          </cell>
        </row>
        <row r="105">
          <cell r="B105" t="str">
            <v>95004632-f762-11e1-a439-00145eb45e9a</v>
          </cell>
        </row>
        <row r="106">
          <cell r="B106" t="str">
            <v>950196f4-f762-11e1-a439-00145eb45e9a</v>
          </cell>
        </row>
        <row r="107">
          <cell r="B107" t="str">
            <v>95e464b4-e286-414b-9c59-6fdc9a4afc14</v>
          </cell>
        </row>
        <row r="108">
          <cell r="B108" t="str">
            <v>9631e56a-f762-11e1-a439-00145eb45e9a</v>
          </cell>
        </row>
        <row r="109">
          <cell r="B109" t="str">
            <v>965e401a-f762-11e1-a439-00145eb45e9a</v>
          </cell>
        </row>
        <row r="110">
          <cell r="B110" t="str">
            <v>9668b676-f762-11e1-a439-00145eb45e9a</v>
          </cell>
        </row>
        <row r="111">
          <cell r="B111" t="str">
            <v>97169dfa-325b-4c1e-af91-3ef023f8a498</v>
          </cell>
        </row>
        <row r="112">
          <cell r="B112" t="str">
            <v>97c87ac4-f762-11e1-a439-00145eb45e9a</v>
          </cell>
        </row>
        <row r="113">
          <cell r="B113" t="str">
            <v>97c9d45a-f762-11e1-a439-00145eb45e9a</v>
          </cell>
        </row>
        <row r="114">
          <cell r="B114" t="str">
            <v>99006141-bf02-4821-8e6e-5818a1cbf70a</v>
          </cell>
        </row>
        <row r="115">
          <cell r="B115" t="str">
            <v>9aef1508-dfcf-447e-bb4a-cf6ee66832eb</v>
          </cell>
        </row>
        <row r="116">
          <cell r="B116" t="str">
            <v>9afe0ed9-4d76-4325-a3ef-45714dc8afe7</v>
          </cell>
        </row>
        <row r="117">
          <cell r="B117" t="str">
            <v>9cdfd6cb-b1b0-4534-bdb0-a50a0e68076a</v>
          </cell>
        </row>
        <row r="118">
          <cell r="B118" t="str">
            <v>9e4137ee-6d4d-4eda-b17c-e132085e6a11</v>
          </cell>
        </row>
        <row r="119">
          <cell r="B119" t="str">
            <v>a004778c-d113-479e-a77f-990041283a51</v>
          </cell>
        </row>
        <row r="120">
          <cell r="B120" t="str">
            <v>a00e14eb-3398-4c40-87f6-41e78081e7ef</v>
          </cell>
        </row>
        <row r="121">
          <cell r="B121" t="str">
            <v>a29805e7-cfe2-4fcd-8510-0373ea480e16</v>
          </cell>
        </row>
        <row r="122">
          <cell r="B122" t="str">
            <v>a449c6d1-7a79-4b84-a31d-028a3a70b0cb</v>
          </cell>
        </row>
        <row r="123">
          <cell r="B123" t="str">
            <v>a6f63e2a-5e06-4198-9306-e2a916454761</v>
          </cell>
        </row>
        <row r="124">
          <cell r="B124" t="str">
            <v>b0259f44-7a0a-4bb7-96f7-601567ce7da5</v>
          </cell>
        </row>
        <row r="125">
          <cell r="B125" t="str">
            <v>b0a7add2-dd9e-4020-9ca4-5df048c8f6a2</v>
          </cell>
        </row>
        <row r="126">
          <cell r="B126" t="str">
            <v>b124e1e0-4755-430f-9eab-894f25a9b59c</v>
          </cell>
        </row>
        <row r="127">
          <cell r="B127" t="str">
            <v>b1363fbb-afec-4dc7-85b6-39b8a5ebb55c</v>
          </cell>
        </row>
        <row r="128">
          <cell r="B128" t="str">
            <v>b33ca13f-fbd6-415e-9e29-72e227610a45</v>
          </cell>
        </row>
        <row r="129">
          <cell r="B129" t="str">
            <v>b54343b5-f728-4394-ab68-89bc6f209310</v>
          </cell>
        </row>
        <row r="130">
          <cell r="B130" t="str">
            <v>b74b429a-4052-4f5b-bff3-fe0b5a2e8669</v>
          </cell>
        </row>
        <row r="131">
          <cell r="B131" t="str">
            <v>ba20df08-d873-4738-931d-a595126eb822</v>
          </cell>
        </row>
        <row r="132">
          <cell r="B132" t="str">
            <v>baa7d7c9-8b9b-4378-91fb-b82522dfbf32</v>
          </cell>
        </row>
        <row r="133">
          <cell r="B133" t="str">
            <v>bed78790-cbec-44af-82af-fe78e9692287</v>
          </cell>
        </row>
        <row r="134">
          <cell r="B134" t="str">
            <v>bfa5e693-7ed4-456c-a276-1a9807d6f27a</v>
          </cell>
        </row>
        <row r="135">
          <cell r="B135" t="str">
            <v>c05b97bc-e172-40e9-9d42-9df0f93a6e65</v>
          </cell>
        </row>
        <row r="136">
          <cell r="B136" t="str">
            <v>c0c05803-63d7-434d-b7f6-db638d57ab36</v>
          </cell>
        </row>
        <row r="137">
          <cell r="B137" t="str">
            <v>c2e10b6c-52b2-45d7-819a-66383fb6dfd6</v>
          </cell>
        </row>
        <row r="138">
          <cell r="B138" t="str">
            <v>c4041add-8d3f-432b-b3c3-7e82024b798f</v>
          </cell>
        </row>
        <row r="139">
          <cell r="B139" t="str">
            <v>c4db5fd0-e2b6-4737-995e-d895bc596d86</v>
          </cell>
        </row>
        <row r="140">
          <cell r="B140" t="str">
            <v>c684e21e-eed5-4c0b-9d5e-028c08d9d893</v>
          </cell>
        </row>
        <row r="142">
          <cell r="B142" t="str">
            <v>cc2031d1-395d-4052-8ce1-796a08c3dbf2</v>
          </cell>
        </row>
        <row r="143">
          <cell r="B143" t="str">
            <v>cd1f299a-929a-4a51-b59e-bd5417d65d9c</v>
          </cell>
        </row>
        <row r="144">
          <cell r="B144" t="str">
            <v>cdf3886e-edc7-41f9-9d84-6d9e83f60971</v>
          </cell>
        </row>
        <row r="145">
          <cell r="B145" t="str">
            <v>ce697b4c-7803-47d8-81bd-5a172f4960b5</v>
          </cell>
        </row>
        <row r="146">
          <cell r="B146" t="str">
            <v>d08d1487-0429-4912-89b8-75ffe764ffd9</v>
          </cell>
        </row>
        <row r="147">
          <cell r="B147" t="str">
            <v>d20ea853-b19c-4a08-aebb-e5d2fe9e65c0</v>
          </cell>
        </row>
        <row r="148">
          <cell r="B148" t="str">
            <v>d30a617e-cac3-470c-a070-601376f45d6b</v>
          </cell>
        </row>
        <row r="149">
          <cell r="B149" t="str">
            <v>d38feefc-41b2-4ff9-b934-b96883e8fa28</v>
          </cell>
        </row>
        <row r="150">
          <cell r="B150" t="str">
            <v>d556b9d4-7625-4aa2-894d-441eabae47f7</v>
          </cell>
        </row>
        <row r="151">
          <cell r="B151" t="str">
            <v>d707f7a6-c028-45c5-82ff-e1a22f9ddfe6</v>
          </cell>
        </row>
        <row r="152">
          <cell r="B152" t="str">
            <v>d734bf6d-1206-4969-bc62-389a6b9bd91f</v>
          </cell>
        </row>
        <row r="153">
          <cell r="B153" t="str">
            <v>d8cd16ba-bb74-4420-821e-083f2bac17c2</v>
          </cell>
        </row>
        <row r="154">
          <cell r="B154" t="str">
            <v>d94f3ea4-4519-4eb0-9d03-5cfc1caab13f</v>
          </cell>
        </row>
        <row r="155">
          <cell r="B155" t="str">
            <v>d962a7dc-2183-4824-bb88-5e0ba14ec62d</v>
          </cell>
        </row>
        <row r="156">
          <cell r="B156" t="str">
            <v>da6a07ed-9eee-460d-9448-910f542c1a7b</v>
          </cell>
        </row>
        <row r="157">
          <cell r="B157" t="str">
            <v>db2cd6fc-a7d5-43ad-b944-8a663d57ae73</v>
          </cell>
        </row>
        <row r="158">
          <cell r="B158" t="str">
            <v>dc780d9c-9d52-43e0-af26-98ab6a1c3eb3</v>
          </cell>
        </row>
        <row r="159">
          <cell r="B159" t="str">
            <v>e2c4a839-89b5-484f-a63c-df89c2f9f974</v>
          </cell>
        </row>
        <row r="160">
          <cell r="B160" t="str">
            <v>e36e3421-8bc9-47e2-aa60-7e367a889397</v>
          </cell>
        </row>
        <row r="161">
          <cell r="B161" t="str">
            <v>e45ea07f-d054-4129-9552-f0c9e6af4019</v>
          </cell>
        </row>
        <row r="162">
          <cell r="B162" t="str">
            <v>e7f1c38e-2a85-4c6e-80aa-d052766a916f</v>
          </cell>
        </row>
        <row r="163">
          <cell r="B163" t="str">
            <v>e815809e-fcb5-4ee7-8edd-639aa4b4892d</v>
          </cell>
        </row>
        <row r="164">
          <cell r="B164" t="str">
            <v>e8f6f42e-0e33-4382-9998-9a178eac3191</v>
          </cell>
        </row>
        <row r="165">
          <cell r="B165" t="str">
            <v>ead6339f-39f8-46be-b059-d1c48d88ab29</v>
          </cell>
        </row>
        <row r="166">
          <cell r="B166" t="str">
            <v>ec12f461-df32-4c8a-b621-0abd1f6cdab3</v>
          </cell>
        </row>
        <row r="167">
          <cell r="B167" t="str">
            <v>ef9a5f87-8a87-4a81-8c82-16194b055935</v>
          </cell>
        </row>
        <row r="168">
          <cell r="B168" t="str">
            <v>f2ec825d-145a-42fd-9bfe-a411a557bc47</v>
          </cell>
        </row>
        <row r="169">
          <cell r="B169" t="str">
            <v>f3d7798e-7bf2-4b85-8ed4-18f2c1849d7d</v>
          </cell>
        </row>
        <row r="170">
          <cell r="B170" t="str">
            <v>f49dd893-1e91-4ce6-9aa7-e1047ffee557</v>
          </cell>
        </row>
        <row r="171">
          <cell r="B171" t="str">
            <v>f58922e2-93ed-4703-ba22-12a0674d1b54</v>
          </cell>
        </row>
        <row r="172">
          <cell r="B172" t="str">
            <v>f7677584-eb01-44ca-96f9-a334381034fa</v>
          </cell>
        </row>
        <row r="173">
          <cell r="B173" t="str">
            <v>f7d8aa43-cdfe-4be2-82a6-88ee33c5c60c</v>
          </cell>
        </row>
        <row r="174">
          <cell r="B174" t="str">
            <v>fbe20230-f4f1-48e7-83ee-4cd3ad15a1db</v>
          </cell>
        </row>
        <row r="175">
          <cell r="B175" t="str">
            <v>https://marineinfo.org/id/dataset/1172</v>
          </cell>
        </row>
        <row r="176">
          <cell r="B176" t="str">
            <v>https://marineinfo.org/id/dataset/2</v>
          </cell>
        </row>
        <row r="177">
          <cell r="B177" t="str">
            <v>https://marineinfo.org/id/dataset/2739</v>
          </cell>
        </row>
        <row r="178">
          <cell r="B178" t="str">
            <v>https://marineinfo.org/id/dataset/4524</v>
          </cell>
        </row>
        <row r="179">
          <cell r="B179" t="str">
            <v>https://marineinfo.org/id/dataset/5184</v>
          </cell>
        </row>
        <row r="180">
          <cell r="B180" t="str">
            <v>https://marineinfo.org/id/dataset/5647</v>
          </cell>
        </row>
        <row r="181">
          <cell r="B181" t="str">
            <v>https://marineinfo.org/id/dataset/5991</v>
          </cell>
        </row>
        <row r="182">
          <cell r="B182" t="str">
            <v>https://marineinfo.org/id/dataset/6513</v>
          </cell>
        </row>
        <row r="183">
          <cell r="B183" t="str">
            <v>https://marineinfo.org/id/dataset/6707</v>
          </cell>
        </row>
      </sheetData>
      <sheetData sheetId="1"/>
      <sheetData sheetId="2"/>
      <sheetData sheetId="3"/>
      <sheetData sheetId="4">
        <row r="2">
          <cell r="V2" t="str">
            <v>229be5b0-ef0c-48e4-aea2-6f8e9b449692</v>
          </cell>
          <cell r="W2" t="str">
            <v>gbif</v>
          </cell>
          <cell r="X2">
            <v>48</v>
          </cell>
          <cell r="Y2" t="str">
            <v>(Table 1) Length, weight, fat content and age of Norwegian spring spawning herring (Clupea harengus) during 2007</v>
          </cell>
          <cell r="Z2" t="str">
            <v>singleOccurrence</v>
          </cell>
        </row>
        <row r="3">
          <cell r="V3" t="str">
            <v>ba20df08-d873-4738-931d-a595126eb822</v>
          </cell>
          <cell r="W3" t="str">
            <v>gbif</v>
          </cell>
          <cell r="X3">
            <v>28</v>
          </cell>
          <cell r="Y3" t="str">
            <v>(Table 2) Megafauna density 2002, 2004 and 2007 in the deep-sea observatory AWI-HAUSGARTEN, Fram Strait</v>
          </cell>
          <cell r="Z3" t="str">
            <v>singleOccurrence</v>
          </cell>
        </row>
        <row r="4">
          <cell r="V4" t="str">
            <v>a533720f-df22-4225-bac7-948c4c1a81bc</v>
          </cell>
          <cell r="W4" t="str">
            <v>gbif</v>
          </cell>
          <cell r="X4">
            <v>5</v>
          </cell>
          <cell r="Y4" t="str">
            <v>2009-2016 Loxton et al., Distribution of the invasive bryozoan Schizoporella japonica in Great Britain and Ireland and a review of its European distribution</v>
          </cell>
          <cell r="Z4" t="str">
            <v>PA</v>
          </cell>
        </row>
        <row r="5">
          <cell r="V5" t="str">
            <v>864c76e6-041f-4d2d-a01e-f57a331e5c2c</v>
          </cell>
          <cell r="W5" t="str">
            <v>gbif</v>
          </cell>
          <cell r="X5">
            <v>1</v>
          </cell>
          <cell r="Y5" t="str">
            <v>A new species of Buenia (Perciformes: Gobiidae) from the western Mediterranean slope bottoms, the redescription of Buenia jeffreysi and the first Balearic record of Buenia affinis</v>
          </cell>
          <cell r="Z5" t="str">
            <v>PO</v>
          </cell>
        </row>
        <row r="6">
          <cell r="V6" t="str">
            <v>3b9bd2c4-7dee-46a3-a36d-80077b88a78b</v>
          </cell>
          <cell r="W6" t="str">
            <v>gbif</v>
          </cell>
          <cell r="X6">
            <v>10</v>
          </cell>
          <cell r="Y6" t="str">
            <v>A taxonomic revision of Anthothela (Octocorallia: Scleraxonia: Anthothelidae) and related genera, with the addition of new taxa, using morphological and molecular data</v>
          </cell>
          <cell r="Z6" t="str">
            <v>PO</v>
          </cell>
        </row>
        <row r="7">
          <cell r="V7" t="str">
            <v>https://marineinfo.org/id/dataset/5647</v>
          </cell>
          <cell r="W7" t="str">
            <v>emodnet</v>
          </cell>
          <cell r="X7" t="e">
            <v>#N/A</v>
          </cell>
          <cell r="Y7" t="str">
            <v>Aarhus-BIOS / Horseshoe crab distribution records from East America and Asia</v>
          </cell>
          <cell r="Z7" t="str">
            <v>PO</v>
          </cell>
        </row>
        <row r="8">
          <cell r="V8" t="str">
            <v>97c9d45a-f762-11e1-a439-00145eb45e9a</v>
          </cell>
          <cell r="W8" t="str">
            <v>gbif</v>
          </cell>
          <cell r="X8">
            <v>44</v>
          </cell>
          <cell r="Y8" t="str">
            <v>Abundance of Polychaeta species in surface sediments of the east Greenland continental slope (2000m section)</v>
          </cell>
          <cell r="Z8" t="str">
            <v>PO</v>
          </cell>
        </row>
        <row r="9">
          <cell r="V9" t="str">
            <v>97c87ac4-f762-11e1-a439-00145eb45e9a</v>
          </cell>
          <cell r="W9" t="str">
            <v>gbif</v>
          </cell>
          <cell r="X9">
            <v>138</v>
          </cell>
          <cell r="Y9" t="str">
            <v>Abundance of Polychaeta species in surface sediments of the east Greenland continental slope (79Â° N section)</v>
          </cell>
          <cell r="Z9" t="str">
            <v>PO</v>
          </cell>
        </row>
        <row r="10">
          <cell r="V10" t="str">
            <v>1ff05317-283d-474a-b72b-078b87c5ed55</v>
          </cell>
          <cell r="W10" t="str">
            <v>gbif</v>
          </cell>
          <cell r="X10">
            <v>69</v>
          </cell>
          <cell r="Y10" t="str">
            <v>aen-jc2-1-mesozooplankton-metadata</v>
          </cell>
          <cell r="Z10" t="str">
            <v>PA</v>
          </cell>
        </row>
        <row r="11">
          <cell r="V11" t="str">
            <v>0ce9fc33-d200-43da-8340-697b09610f74</v>
          </cell>
          <cell r="W11" t="str">
            <v>gbif</v>
          </cell>
          <cell r="X11">
            <v>153</v>
          </cell>
          <cell r="Y11" t="str">
            <v>aen-q2-mesozooplankton-biodiversity</v>
          </cell>
          <cell r="Z11" t="str">
            <v>PA</v>
          </cell>
        </row>
        <row r="12">
          <cell r="V12" t="str">
            <v>7040ba16-47f5-439f-96a3-95f45f41eb72</v>
          </cell>
          <cell r="W12" t="str">
            <v>gbif</v>
          </cell>
          <cell r="X12">
            <v>188</v>
          </cell>
          <cell r="Y12" t="str">
            <v>aen-q2-phytoplankton</v>
          </cell>
          <cell r="Z12" t="str">
            <v>PA</v>
          </cell>
        </row>
        <row r="13">
          <cell r="V13" t="str">
            <v>48125541-00d5-498e-af76-9472e51c459c</v>
          </cell>
          <cell r="W13" t="str">
            <v>gbif</v>
          </cell>
          <cell r="X13">
            <v>116</v>
          </cell>
          <cell r="Y13" t="str">
            <v>aen-q3-mesozooplankton biodiversity</v>
          </cell>
          <cell r="Z13" t="str">
            <v>PA</v>
          </cell>
        </row>
        <row r="14">
          <cell r="V14" t="str">
            <v>88bb5351-cbed-4448-abf8-fdeae8b1abaf</v>
          </cell>
          <cell r="W14" t="str">
            <v>obis</v>
          </cell>
          <cell r="X14">
            <v>26</v>
          </cell>
          <cell r="Y14" t="str">
            <v>Amphipod distribution data from the North Atlantic and Artic waters compiled from literature records published in 1931-2018</v>
          </cell>
          <cell r="Z14" t="str">
            <v>PA</v>
          </cell>
        </row>
        <row r="15">
          <cell r="V15" t="str">
            <v>d734bf6d-1206-4969-bc62-389a6b9bd91f</v>
          </cell>
          <cell r="W15" t="str">
            <v>gbif</v>
          </cell>
          <cell r="X15">
            <v>5</v>
          </cell>
          <cell r="Y15" t="str">
            <v>Arctic benthos Targeted Locus (Loci)</v>
          </cell>
          <cell r="Z15" t="str">
            <v>PA</v>
          </cell>
        </row>
        <row r="16">
          <cell r="V16" t="str">
            <v>d20ea853-b19c-4a08-aebb-e5d2fe9e65c0</v>
          </cell>
          <cell r="W16" t="str">
            <v>gbif</v>
          </cell>
          <cell r="X16">
            <v>34</v>
          </cell>
          <cell r="Y16" t="str">
            <v>Arctic first-year drift ice and under-ice water bacterial communities</v>
          </cell>
          <cell r="Z16" t="str">
            <v>PO</v>
          </cell>
        </row>
        <row r="17">
          <cell r="V17" t="str">
            <v>7c6b6f36-ecab-4ac7-b72c-30e8f501d06f</v>
          </cell>
          <cell r="W17" t="str">
            <v>gbif</v>
          </cell>
          <cell r="X17">
            <v>7</v>
          </cell>
          <cell r="Y17" t="str">
            <v>Arctic microbiome along Svalbard Cross Shelf transects</v>
          </cell>
          <cell r="Z17" t="str">
            <v>PA</v>
          </cell>
        </row>
        <row r="18">
          <cell r="V18" t="str">
            <v>84b72ee4-f762-11e1-a439-00145eb45e9a</v>
          </cell>
          <cell r="W18" t="str">
            <v>gbif</v>
          </cell>
          <cell r="X18">
            <v>380</v>
          </cell>
          <cell r="Y18" t="str">
            <v>Arctic Ocean Diversity</v>
          </cell>
          <cell r="Z18" t="str">
            <v>PO</v>
          </cell>
        </row>
        <row r="19">
          <cell r="V19" t="str">
            <v>403fabe5-b960-4dc3-9e13-32f479a0b798</v>
          </cell>
          <cell r="W19" t="str">
            <v>gbif</v>
          </cell>
          <cell r="X19">
            <v>4662</v>
          </cell>
          <cell r="Y19" t="str">
            <v>Arctic Species Trend Index (ASTI) : Marine</v>
          </cell>
          <cell r="Z19" t="str">
            <v>PO</v>
          </cell>
        </row>
        <row r="20">
          <cell r="V20" t="str">
            <v>38b4c89f-584c-41bb-bd8f-cd1def33e92f</v>
          </cell>
          <cell r="W20" t="str">
            <v>gbif</v>
          </cell>
          <cell r="X20">
            <v>3436</v>
          </cell>
          <cell r="Y20" t="str">
            <v>Artportalen</v>
          </cell>
          <cell r="Z20" t="str">
            <v>PO</v>
          </cell>
        </row>
        <row r="21">
          <cell r="V21" t="str">
            <v>bdfff433-2114-4b18-86cb-d2d281dbe097</v>
          </cell>
          <cell r="W21" t="str">
            <v>gbif</v>
          </cell>
          <cell r="X21">
            <v>7</v>
          </cell>
          <cell r="Y21" t="str">
            <v>Artsprosjekt Endofyttisk sopp i trÃ¦r 23-19</v>
          </cell>
          <cell r="Z21" t="str">
            <v>PA</v>
          </cell>
        </row>
        <row r="22">
          <cell r="V22" t="str">
            <v>85b0b9ce-1fac-46a6-ac25-c4ea3645b7af</v>
          </cell>
          <cell r="W22" t="str">
            <v>gbif</v>
          </cell>
          <cell r="X22">
            <v>462</v>
          </cell>
          <cell r="Y22" t="str">
            <v>artsprosjektet_46-15_noramph</v>
          </cell>
          <cell r="Z22" t="str">
            <v>PO</v>
          </cell>
        </row>
        <row r="23">
          <cell r="V23" t="str">
            <v>782ad188-4dc3-4ba7-a04b-58d3e32b56d7</v>
          </cell>
          <cell r="W23" t="str">
            <v>gbif</v>
          </cell>
          <cell r="X23">
            <v>26</v>
          </cell>
          <cell r="Y23" t="str">
            <v>artsprosjektet_47-14_organophilic_annelids</v>
          </cell>
          <cell r="Z23" t="str">
            <v>PA</v>
          </cell>
        </row>
        <row r="24">
          <cell r="V24" t="str">
            <v>e64d7f8f-9569-4319-8a5e-eb4da0c9d782</v>
          </cell>
          <cell r="W24" t="str">
            <v>gbif</v>
          </cell>
          <cell r="X24">
            <v>238</v>
          </cell>
          <cell r="Y24" t="str">
            <v>artsprosjektet_48-15_naididae</v>
          </cell>
          <cell r="Z24" t="str">
            <v>PO</v>
          </cell>
        </row>
        <row r="25">
          <cell r="V25" t="str">
            <v>09e310a9-52d2-4a5b-8c1c-043fe67bdbbf</v>
          </cell>
          <cell r="W25" t="str">
            <v>gbif</v>
          </cell>
          <cell r="X25">
            <v>3</v>
          </cell>
          <cell r="Y25" t="str">
            <v>artsprosjektet_52-14_cirripedia</v>
          </cell>
          <cell r="Z25" t="str">
            <v>PO</v>
          </cell>
        </row>
        <row r="26">
          <cell r="V26" t="str">
            <v>a01f491f-5807-4044-9613-04d1c8c7c5f4</v>
          </cell>
          <cell r="W26" t="str">
            <v>gbif</v>
          </cell>
          <cell r="X26">
            <v>206</v>
          </cell>
          <cell r="Y26" t="str">
            <v>artsprosjektet_53-12_enchytraeidae</v>
          </cell>
          <cell r="Z26" t="str">
            <v>PO</v>
          </cell>
        </row>
        <row r="27">
          <cell r="V27" t="str">
            <v>339e9664-56f6-4174-a32e-c00ce3e5d60a</v>
          </cell>
          <cell r="W27" t="str">
            <v>gbif</v>
          </cell>
          <cell r="X27">
            <v>323</v>
          </cell>
          <cell r="Y27" t="str">
            <v>artsprosjektet_53-14_copclad</v>
          </cell>
          <cell r="Z27" t="str">
            <v>PA</v>
          </cell>
        </row>
        <row r="28">
          <cell r="V28" t="str">
            <v>64c7444f-e982-492c-aa57-560f9b5bb53d</v>
          </cell>
          <cell r="W28" t="str">
            <v>gbif</v>
          </cell>
          <cell r="X28">
            <v>8</v>
          </cell>
          <cell r="Y28" t="str">
            <v>Ascidiacea distribution data from: Deep-sea fauna of European seas - an annotated species check-list of benthic invertebrates living deeper than 2000 m in the seas bordering Europe</v>
          </cell>
          <cell r="Z28" t="str">
            <v>PO</v>
          </cell>
        </row>
        <row r="29">
          <cell r="V29" t="str">
            <v>53a911cf-d038-4f6f-a8a2-1b082a1bc781</v>
          </cell>
          <cell r="W29" t="str">
            <v>gbif</v>
          </cell>
          <cell r="X29">
            <v>10</v>
          </cell>
          <cell r="Y29" t="str">
            <v>Asteroidea distribution data from: Deep-sea fauna of European seas - an annotated species check-list of benthic invertebrates living deeper than 2000 m in the seas bordering Europe</v>
          </cell>
          <cell r="Z29" t="str">
            <v>PO</v>
          </cell>
        </row>
        <row r="30">
          <cell r="V30" t="str">
            <v>14fa3c3e-259c-4af9-9314-eee1dc3a119b</v>
          </cell>
          <cell r="W30" t="str">
            <v>obis</v>
          </cell>
          <cell r="X30">
            <v>99</v>
          </cell>
          <cell r="Y30" t="str">
            <v>beamtrawl_2006-2022</v>
          </cell>
          <cell r="Z30" t="str">
            <v>PA</v>
          </cell>
        </row>
        <row r="31">
          <cell r="V31" t="str">
            <v>9afe0ed9-4d76-4325-a3ef-45714dc8afe7</v>
          </cell>
          <cell r="W31" t="str">
            <v>obis</v>
          </cell>
          <cell r="X31">
            <v>5</v>
          </cell>
          <cell r="Y31" t="str">
            <v>Benthic Haploniscidae (Isopoda) collected around Iceland during the BIOICE, IceAGE, IceAGE2,IceAGE_RR and IceAGE3 expedtions in 1992-2020</v>
          </cell>
          <cell r="Z31" t="str">
            <v>PO</v>
          </cell>
        </row>
        <row r="32">
          <cell r="V32" t="str">
            <v>3b00bf46-5fb6-49fc-bf89-5bde09fb63ac</v>
          </cell>
          <cell r="W32" t="str">
            <v>obis</v>
          </cell>
          <cell r="X32">
            <v>26</v>
          </cell>
          <cell r="Y32" t="str">
            <v>Benthic Isopoda of the Aegir Ridge (Norwegian Sea) collected during the IceAGE3 (SO276 MerMet17-06) expedition in summer 2020</v>
          </cell>
          <cell r="Z32" t="str">
            <v>PA</v>
          </cell>
        </row>
        <row r="33">
          <cell r="V33" t="str">
            <v>d08d1487-0429-4912-89b8-75ffe764ffd9</v>
          </cell>
          <cell r="W33" t="str">
            <v>gbif</v>
          </cell>
          <cell r="X33">
            <v>343</v>
          </cell>
          <cell r="Y33" t="str">
            <v>Benthic macrofauna community from the Northwestern Barents Sea from seasonal cruises (Q3-August 2019; Q4-December 2019; Q1-March 2021; Q2-May 2021)-The Nansen Legacy project (Arven etter Nansen)</v>
          </cell>
          <cell r="Z33" t="str">
            <v>PA</v>
          </cell>
        </row>
        <row r="34">
          <cell r="V34" t="str">
            <v>b0a7add2-dd9e-4020-9ca4-5df048c8f6a2</v>
          </cell>
          <cell r="W34" t="str">
            <v>obis</v>
          </cell>
          <cell r="X34">
            <v>806</v>
          </cell>
          <cell r="Y34" t="str">
            <v>Bigood</v>
          </cell>
          <cell r="Z34" t="str">
            <v>PO</v>
          </cell>
        </row>
        <row r="35">
          <cell r="V35" t="str">
            <v>https://marineinfo.org/id/dataset/490</v>
          </cell>
          <cell r="W35" t="str">
            <v>emodnet</v>
          </cell>
          <cell r="X35">
            <v>45</v>
          </cell>
          <cell r="Y35" t="str">
            <v>Bigood</v>
          </cell>
          <cell r="Z35" t="str">
            <v>PA</v>
          </cell>
        </row>
        <row r="36">
          <cell r="V36" t="str">
            <v>2e4cc37b-302e-4f1b-bbbb-1f674ff90e14</v>
          </cell>
          <cell r="W36" t="str">
            <v>gbif</v>
          </cell>
          <cell r="X36">
            <v>32</v>
          </cell>
          <cell r="Y36" t="str">
            <v>Biofokus</v>
          </cell>
          <cell r="Z36" t="str">
            <v>PO</v>
          </cell>
        </row>
        <row r="37">
          <cell r="V37" t="str">
            <v>96309e26-f762-11e1-a439-00145eb45e9a</v>
          </cell>
          <cell r="W37" t="str">
            <v>gbif</v>
          </cell>
          <cell r="X37">
            <v>835</v>
          </cell>
          <cell r="Y37" t="str">
            <v>Biological samples from the french oceanographic fleet's deep-sea cruises</v>
          </cell>
          <cell r="Z37" t="str">
            <v>PO</v>
          </cell>
        </row>
        <row r="38">
          <cell r="V38" t="str">
            <v>ca0d8107-a2bd-47a1-91a1-250179b534ec</v>
          </cell>
          <cell r="W38" t="str">
            <v>gbif</v>
          </cell>
          <cell r="X38">
            <v>6</v>
          </cell>
          <cell r="Y38" t="str">
            <v>Bitunicate ascomycetes (Dothideomycetes and Chaetothyriomycetidae) on bark and wood of selected hosts in Norway</v>
          </cell>
          <cell r="Z38" t="str">
            <v>PA</v>
          </cell>
        </row>
        <row r="39">
          <cell r="V39" t="str">
            <v>0044f3b8-8305-47c6-b96d-a351a94ace74</v>
          </cell>
          <cell r="W39" t="str">
            <v>gbif</v>
          </cell>
          <cell r="X39">
            <v>76</v>
          </cell>
          <cell r="Y39" t="str">
            <v>Bivalvia distribution data from: Deep-sea fauna of European seas - an annotated species check-list of benthic invertebrates living deeper than 2000 m in the seas bordering Europe</v>
          </cell>
          <cell r="Z39" t="str">
            <v>PO</v>
          </cell>
        </row>
        <row r="40">
          <cell r="V40" t="str">
            <v>832fa9ed-1aa9-47dd-9cba-6a58d91b8a12</v>
          </cell>
          <cell r="W40" t="str">
            <v>gbif</v>
          </cell>
          <cell r="X40">
            <v>238</v>
          </cell>
          <cell r="Y40" t="str">
            <v>BLS Lichen Database: Scotland 1700-2016</v>
          </cell>
          <cell r="Z40" t="str">
            <v>PO</v>
          </cell>
        </row>
        <row r="41">
          <cell r="V41" t="str">
            <v>https://marineinfo.org/id/dataset/1172</v>
          </cell>
          <cell r="W41" t="str">
            <v>emodnet</v>
          </cell>
          <cell r="X41" t="e">
            <v>#N/A</v>
          </cell>
          <cell r="Y41" t="str">
            <v>Biogeographic data from BODC - British Oceanographic Data Centre</v>
          </cell>
          <cell r="Z41" t="str">
            <v>PO</v>
          </cell>
        </row>
        <row r="42">
          <cell r="V42" t="str">
            <v>76805c1e-0691-4d13-ab59-2211efa1a78a</v>
          </cell>
          <cell r="W42" t="str">
            <v>gbif</v>
          </cell>
          <cell r="X42">
            <v>12</v>
          </cell>
          <cell r="Y42" t="str">
            <v>Bryozoa distribution data from: Deep-sea fauna of European seas - an annotated species check-list of benthic invertebrates living deeper than 2000 m in the seas bordering Europe</v>
          </cell>
          <cell r="Z42" t="str">
            <v>PO</v>
          </cell>
        </row>
        <row r="43">
          <cell r="V43" t="str">
            <v>84df82e3-99a3-4150-aea2-e2d2e159c749</v>
          </cell>
          <cell r="W43" t="str">
            <v>gbif</v>
          </cell>
          <cell r="X43">
            <v>162</v>
          </cell>
          <cell r="Y43" t="str">
            <v>Capture Mark Recapture Data for Scottish Elasmobranchs: 2009-2018</v>
          </cell>
          <cell r="Z43" t="str">
            <v>PO</v>
          </cell>
        </row>
        <row r="44">
          <cell r="V44" t="str">
            <v>c05b97bc-e172-40e9-9d42-9df0f93a6e65</v>
          </cell>
          <cell r="W44" t="str">
            <v>gbif</v>
          </cell>
          <cell r="X44">
            <v>2</v>
          </cell>
          <cell r="Y44" t="str">
            <v>Catalogue of the type specimens of Pogonophora (Annelida; seu Polychaeta: Siboglinidae) from research collections of the Zoological Institute, Russian Academy of Sciences</v>
          </cell>
          <cell r="Z44" t="str">
            <v>PA</v>
          </cell>
        </row>
        <row r="45">
          <cell r="V45" t="str">
            <v>8f3081d6-42e6-44df-972a-a5c0c991f3ca</v>
          </cell>
          <cell r="W45" t="str">
            <v>gbif</v>
          </cell>
          <cell r="X45">
            <v>36</v>
          </cell>
          <cell r="Y45" t="str">
            <v>Cephalaspidean Gastropods</v>
          </cell>
          <cell r="Z45" t="str">
            <v>PA</v>
          </cell>
        </row>
        <row r="46">
          <cell r="V46" t="str">
            <v>ba754b2f-d826-4701-9419-11a3ea8cc94e</v>
          </cell>
          <cell r="W46" t="str">
            <v>gbif</v>
          </cell>
          <cell r="X46">
            <v>5</v>
          </cell>
          <cell r="Y46" t="str">
            <v>Clarification of the taxonomic status of Acanthochitona discrepans (Brown, 1827) with new data for the North-East Atlantic Acanthochitona (Polyplacophora, Acanthochitonidae)</v>
          </cell>
          <cell r="Z46" t="str">
            <v>PO</v>
          </cell>
        </row>
        <row r="47">
          <cell r="V47" t="str">
            <v>9631e56a-f762-11e1-a439-00145eb45e9a</v>
          </cell>
          <cell r="W47" t="str">
            <v>gbif</v>
          </cell>
          <cell r="X47">
            <v>381</v>
          </cell>
          <cell r="Y47" t="str">
            <v>COMARGIS: Information System on Continental Margin Ecosystems</v>
          </cell>
          <cell r="Z47" t="str">
            <v>PO</v>
          </cell>
        </row>
        <row r="48">
          <cell r="V48" t="str">
            <v>https://marineinfo.org/id/dataset/4059</v>
          </cell>
          <cell r="W48" t="str">
            <v>emodnet</v>
          </cell>
          <cell r="X48">
            <v>2</v>
          </cell>
          <cell r="Y48" t="str">
            <v>COMARGIS: Information System on Continental Margin Ecosystems</v>
          </cell>
          <cell r="Z48" t="str">
            <v>PA</v>
          </cell>
        </row>
        <row r="49">
          <cell r="V49" t="str">
            <v>e45ea07f-d054-4129-9552-f0c9e6af4019</v>
          </cell>
          <cell r="W49" t="str">
            <v>gbif</v>
          </cell>
          <cell r="X49">
            <v>11280</v>
          </cell>
          <cell r="Y49" t="str">
            <v>Conchological Society of Great Britain &amp;amp; Ireland: marine mollusc records</v>
          </cell>
          <cell r="Z49" t="str">
            <v>PA</v>
          </cell>
        </row>
        <row r="50">
          <cell r="V50" t="str">
            <v>2a570f00-86e1-46ca-bfb6-7dd077e66004</v>
          </cell>
          <cell r="W50" t="str">
            <v>gbif</v>
          </cell>
          <cell r="X50">
            <v>23</v>
          </cell>
          <cell r="Y50" t="str">
            <v>Crinoidea distribution data from: Deep-sea fauna of European seas - an annotated species check-list of benthic invertebrates living deeper than 2000 m in the seas bordering Europe</v>
          </cell>
          <cell r="Z50" t="str">
            <v>PO</v>
          </cell>
        </row>
        <row r="51">
          <cell r="V51" t="str">
            <v>6043b710-f1a6-48bb-a473-8b32b1e43408</v>
          </cell>
          <cell r="W51" t="str">
            <v>gbif</v>
          </cell>
          <cell r="X51">
            <v>10</v>
          </cell>
          <cell r="Y51" t="str">
            <v>CRIS data set</v>
          </cell>
          <cell r="Z51" t="str">
            <v>PO</v>
          </cell>
        </row>
        <row r="52">
          <cell r="V52" t="str">
            <v>cc2031d1-395d-4052-8ce1-796a08c3dbf2</v>
          </cell>
          <cell r="W52" t="str">
            <v>gbif</v>
          </cell>
          <cell r="X52">
            <v>94256</v>
          </cell>
          <cell r="Y52" t="str">
            <v>DASSH Data Archive Centre - Statutory Surveys</v>
          </cell>
          <cell r="Z52" t="str">
            <v>PA</v>
          </cell>
        </row>
        <row r="53">
          <cell r="V53" t="str">
            <v>37497bf7-31a0-4fd5-9591-2b47004f5ab9</v>
          </cell>
          <cell r="W53" t="str">
            <v>gbif</v>
          </cell>
          <cell r="X53">
            <v>19</v>
          </cell>
          <cell r="Y53" t="str">
            <v>Deep-sea megabenthos of the Eurasian Central Arctic based on image analysis.</v>
          </cell>
          <cell r="Z53" t="str">
            <v>PA</v>
          </cell>
        </row>
        <row r="54">
          <cell r="V54" t="str">
            <v>c684e21e-eed5-4c0b-9d5e-028c08d9d893</v>
          </cell>
          <cell r="W54" t="str">
            <v>gbif</v>
          </cell>
          <cell r="X54">
            <v>1</v>
          </cell>
          <cell r="Y54" t="str">
            <v>Distribution and diversity of sipunculan fauna in high Arctic fjords (west Svalbard)</v>
          </cell>
          <cell r="Z54" t="str">
            <v>PA</v>
          </cell>
        </row>
        <row r="55">
          <cell r="V55" t="str">
            <v>8e8fa6e1-42c5-4793-bb2d-1ec67b670787</v>
          </cell>
          <cell r="W55" t="str">
            <v>obis</v>
          </cell>
          <cell r="X55">
            <v>6</v>
          </cell>
          <cell r="Y55" t="str">
            <v>Distribution of deep-sea sponges in the North Atlantic</v>
          </cell>
          <cell r="Z55" t="str">
            <v>PA</v>
          </cell>
        </row>
        <row r="56">
          <cell r="V56" t="str">
            <v>https://marineinfo.org/id/dataset/6707</v>
          </cell>
          <cell r="W56" t="str">
            <v>emodnet</v>
          </cell>
          <cell r="X56">
            <v>1</v>
          </cell>
          <cell r="Y56" t="str">
            <v>Distribution of deep-sea sponges in the North Atlantic - Data from the SponGES project</v>
          </cell>
          <cell r="Z56" t="str">
            <v>PA</v>
          </cell>
        </row>
        <row r="57">
          <cell r="V57" t="str">
            <v>61137d30-c560-4309-b278-b2e5aebce92f</v>
          </cell>
          <cell r="W57" t="str">
            <v>gbif</v>
          </cell>
          <cell r="X57">
            <v>99</v>
          </cell>
          <cell r="Y57" t="str">
            <v>Downward flux of phytoplankton cells in East Greenland fjords, August 2022</v>
          </cell>
          <cell r="Z57" t="str">
            <v>PA</v>
          </cell>
        </row>
        <row r="58">
          <cell r="V58" t="str">
            <v>8294e09b-b09e-44da-8264-f77bdd3ac6f6</v>
          </cell>
          <cell r="W58" t="str">
            <v>gbif</v>
          </cell>
          <cell r="X58">
            <v>5</v>
          </cell>
          <cell r="Y58" t="str">
            <v>Echinoidea distribution data from: Deep-sea fauna of European seas - an annotated species check-list of benthic invertebrates living deeper than 2000 m in the seas bordering Europe</v>
          </cell>
          <cell r="Z58" t="str">
            <v>PO</v>
          </cell>
        </row>
        <row r="59">
          <cell r="V59" t="str">
            <v>3bb7e2f5-7d2d-42e8-b2b4-07439ccf9053</v>
          </cell>
          <cell r="W59" t="str">
            <v>gbif</v>
          </cell>
          <cell r="X59">
            <v>3</v>
          </cell>
          <cell r="Y59" t="str">
            <v>eDNA_Subseafloor</v>
          </cell>
          <cell r="Z59" t="str">
            <v>PA</v>
          </cell>
        </row>
        <row r="60">
          <cell r="V60" t="str">
            <v>e2c4a839-89b5-484f-a63c-df89c2f9f974</v>
          </cell>
          <cell r="W60" t="str">
            <v>obis</v>
          </cell>
          <cell r="X60">
            <v>14878</v>
          </cell>
          <cell r="Y60" t="str">
            <v>Environmental Monitoring database (MOD) DNV</v>
          </cell>
          <cell r="Z60" t="str">
            <v>PA</v>
          </cell>
        </row>
        <row r="61">
          <cell r="V61" t="str">
            <v>bed78790-cbec-44af-82af-fe78e9692287</v>
          </cell>
          <cell r="W61" t="str">
            <v>gbif</v>
          </cell>
          <cell r="X61">
            <v>13700</v>
          </cell>
          <cell r="Y61" t="str">
            <v>Environmental Monitoring database (MOD) DNV</v>
          </cell>
          <cell r="Z61" t="str">
            <v>PA</v>
          </cell>
        </row>
        <row r="62">
          <cell r="V62" t="str">
            <v>3e5116b3-e1eb-4c96-b8f8-f8383631d8fd</v>
          </cell>
          <cell r="W62" t="str">
            <v>gbif</v>
          </cell>
          <cell r="X62">
            <v>32</v>
          </cell>
          <cell r="Y62" t="str">
            <v>Eukaryotes detected in marine water (collected August 2023) from the North Atlantic by the MSC Poesia cruise ship; inferred from 18S DNA metabarcoding data.</v>
          </cell>
          <cell r="Z62" t="str">
            <v>PA</v>
          </cell>
        </row>
        <row r="63">
          <cell r="V63" t="str">
            <v>4e6a1cb8-7599-4c60-b588-d18ec2c060ee</v>
          </cell>
          <cell r="W63" t="str">
            <v>gbif</v>
          </cell>
          <cell r="X63">
            <v>17</v>
          </cell>
          <cell r="Y63" t="str">
            <v>Eukaryotes detected in marine water (collected July 2023) from the North Atlantic by the MSC Poesia cruise ship; inferred from 18S DNA metabarcoding data.</v>
          </cell>
          <cell r="Z63" t="str">
            <v>PA</v>
          </cell>
        </row>
        <row r="64">
          <cell r="V64" t="str">
            <v>3470d506-e667-4e3f-b178-819669684c05</v>
          </cell>
          <cell r="W64" t="str">
            <v>gbif</v>
          </cell>
          <cell r="X64">
            <v>271613</v>
          </cell>
          <cell r="Y64" t="str">
            <v>European Seabirds At Sea (ESAS)</v>
          </cell>
          <cell r="Z64" t="str">
            <v>PO</v>
          </cell>
        </row>
        <row r="65">
          <cell r="V65" t="str">
            <v>34ed3819-a996-47ad-bc36-ee0a8471a57d</v>
          </cell>
          <cell r="W65" t="str">
            <v>gbif</v>
          </cell>
          <cell r="X65">
            <v>6</v>
          </cell>
          <cell r="Y65" t="str">
            <v>Fatty acids in zooplankton Nansen Legacy Q3</v>
          </cell>
          <cell r="Z65" t="str">
            <v>PA</v>
          </cell>
        </row>
        <row r="66">
          <cell r="V66" t="str">
            <v>baa7d7c9-8b9b-4378-91fb-b82522dfbf32</v>
          </cell>
          <cell r="W66" t="str">
            <v>gbif</v>
          </cell>
          <cell r="X66">
            <v>2</v>
          </cell>
          <cell r="Y66" t="str">
            <v>Fatty acids in zooplankton Nansen Legacy Q4</v>
          </cell>
          <cell r="Z66" t="str">
            <v>PA</v>
          </cell>
        </row>
        <row r="67">
          <cell r="V67" t="str">
            <v>197908d0-5565-11d8-b290-b8a03c50a862</v>
          </cell>
          <cell r="W67" t="str">
            <v>gbif</v>
          </cell>
          <cell r="X67">
            <v>149</v>
          </cell>
          <cell r="Y67" t="str">
            <v>FishBase Database</v>
          </cell>
          <cell r="Z67" t="str">
            <v>PO</v>
          </cell>
        </row>
        <row r="68">
          <cell r="V68" t="str">
            <v>e8c7beb7-91ea-477e-91ba-8666b4207a1e</v>
          </cell>
          <cell r="W68" t="str">
            <v>gbif</v>
          </cell>
          <cell r="X68">
            <v>2</v>
          </cell>
          <cell r="Y68" t="str">
            <v>Fungi in Norwegian Coastal Heathlands</v>
          </cell>
          <cell r="Z68" t="str">
            <v>PO</v>
          </cell>
        </row>
        <row r="69">
          <cell r="V69" t="str">
            <v>9f0e1ca6-fb08-4c72-9a4a-1e3b7a528c10</v>
          </cell>
          <cell r="W69" t="str">
            <v>gbif</v>
          </cell>
          <cell r="X69" t="e">
            <v>#N/A</v>
          </cell>
          <cell r="Y69" t="str">
            <v>Global soil organisms</v>
          </cell>
          <cell r="Z69" t="str">
            <v>PO</v>
          </cell>
        </row>
        <row r="70">
          <cell r="V70" t="str">
            <v>d556b9d4-7625-4aa2-894d-441eabae47f7</v>
          </cell>
          <cell r="W70" t="str">
            <v>obis</v>
          </cell>
          <cell r="X70">
            <v>283</v>
          </cell>
          <cell r="Y70" t="str">
            <v>grab_2006-2022</v>
          </cell>
          <cell r="Z70" t="str">
            <v>PA</v>
          </cell>
        </row>
        <row r="71">
          <cell r="V71" t="str">
            <v>7fcf1da7-2c7a-4e69-a60d-efa5f0b4ec77</v>
          </cell>
          <cell r="W71" t="str">
            <v>gbif</v>
          </cell>
          <cell r="X71">
            <v>6</v>
          </cell>
          <cell r="Y71" t="str">
            <v>HBIs and sterols in zooplankton Nansen Legacy Q3</v>
          </cell>
          <cell r="Z71" t="str">
            <v>PA</v>
          </cell>
        </row>
        <row r="72">
          <cell r="V72" t="str">
            <v>021366ac-62e5-4acc-a439-4c37b3288d87</v>
          </cell>
          <cell r="W72" t="str">
            <v>gbif</v>
          </cell>
          <cell r="X72">
            <v>33</v>
          </cell>
          <cell r="Y72" t="str">
            <v>HBIs and sterols in zooplankton Nansen Legacy Q4</v>
          </cell>
          <cell r="Z72" t="str">
            <v>PA</v>
          </cell>
        </row>
        <row r="73">
          <cell r="V73" t="str">
            <v>a29805e7-cfe2-4fcd-8510-0373ea480e16</v>
          </cell>
          <cell r="W73" t="str">
            <v>gbif</v>
          </cell>
          <cell r="X73">
            <v>53</v>
          </cell>
          <cell r="Y73" t="str">
            <v>High gene flow in polar cod (Boreogadus saida) from West-Svalbard and the Eurasian Basin - Occurrence Data</v>
          </cell>
          <cell r="Z73" t="str">
            <v>PA</v>
          </cell>
        </row>
        <row r="74">
          <cell r="V74" t="str">
            <v>a3c6c702-6050-4e69-b358-8934bdc97994</v>
          </cell>
          <cell r="W74" t="str">
            <v>gbif</v>
          </cell>
          <cell r="X74">
            <v>43</v>
          </cell>
          <cell r="Y74" t="str">
            <v>ibbi observations</v>
          </cell>
          <cell r="Z74" t="str">
            <v>PO</v>
          </cell>
        </row>
        <row r="75">
          <cell r="V75" t="str">
            <v>e5389590-6d7e-4752-b84b-faa2a411db87</v>
          </cell>
          <cell r="W75" t="str">
            <v>obis</v>
          </cell>
          <cell r="X75">
            <v>119</v>
          </cell>
          <cell r="Y75" t="str">
            <v>ICES Vulnerable Marine Ecosystems</v>
          </cell>
          <cell r="Z75" t="str">
            <v>PO</v>
          </cell>
        </row>
        <row r="76">
          <cell r="V76" t="str">
            <v>https://marineinfo.org/id/dataset/4529</v>
          </cell>
          <cell r="W76" t="str">
            <v>emodnet</v>
          </cell>
          <cell r="X76" t="e">
            <v>#N/A</v>
          </cell>
          <cell r="Y76" t="str">
            <v>IFREMER and Kélonia</v>
          </cell>
          <cell r="Z76" t="str">
            <v>PO</v>
          </cell>
        </row>
        <row r="77">
          <cell r="V77" t="str">
            <v>02d5c4ed-d372-474a-8166-e79d341ea04e</v>
          </cell>
          <cell r="W77" t="str">
            <v>obis</v>
          </cell>
          <cell r="X77">
            <v>29045</v>
          </cell>
          <cell r="Y77" t="str">
            <v>imr_fish</v>
          </cell>
          <cell r="Z77" t="str">
            <v>PA</v>
          </cell>
        </row>
        <row r="78">
          <cell r="V78" t="str">
            <v>99006141-bf02-4821-8e6e-5818a1cbf70a</v>
          </cell>
          <cell r="W78" t="str">
            <v>gbif</v>
          </cell>
          <cell r="X78">
            <v>3003</v>
          </cell>
          <cell r="Y78" t="str">
            <v>imr_mareano_beamtrawl</v>
          </cell>
          <cell r="Z78" t="str">
            <v>PA</v>
          </cell>
        </row>
        <row r="79">
          <cell r="V79" t="str">
            <v>d30a617e-cac3-470c-a070-601376f45d6b</v>
          </cell>
          <cell r="W79" t="str">
            <v>gbif</v>
          </cell>
          <cell r="X79">
            <v>5481</v>
          </cell>
          <cell r="Y79" t="str">
            <v>imr_mareano_grab</v>
          </cell>
          <cell r="Z79" t="str">
            <v>PA</v>
          </cell>
        </row>
        <row r="80">
          <cell r="V80" t="str">
            <v>e7f1c38e-2a85-4c6e-80aa-d052766a916f</v>
          </cell>
          <cell r="W80" t="str">
            <v>gbif</v>
          </cell>
          <cell r="X80">
            <v>1199</v>
          </cell>
          <cell r="Y80" t="str">
            <v>imr_mareano_rpsledge</v>
          </cell>
          <cell r="Z80" t="str">
            <v>PA</v>
          </cell>
        </row>
        <row r="81">
          <cell r="V81" t="str">
            <v>08a41903-7411-479a-929d-4a0c9bc40b31</v>
          </cell>
          <cell r="W81" t="str">
            <v>gbif</v>
          </cell>
          <cell r="X81">
            <v>2438</v>
          </cell>
          <cell r="Y81" t="str">
            <v>Ims fish tag database</v>
          </cell>
          <cell r="Z81" t="str">
            <v>PO</v>
          </cell>
        </row>
        <row r="82">
          <cell r="V82" t="str">
            <v>50c9509d-22c7-4a22-a47d-8c48425ef4a7</v>
          </cell>
          <cell r="W82" t="str">
            <v>gbif</v>
          </cell>
          <cell r="X82">
            <v>27371</v>
          </cell>
          <cell r="Y82" t="str">
            <v>iNaturalist Research-grade Observations</v>
          </cell>
          <cell r="Z82" t="str">
            <v>PO</v>
          </cell>
        </row>
        <row r="83">
          <cell r="V83" t="str">
            <v>393b8c26-e4e0-4dd0-a218-93fc074ebf4e</v>
          </cell>
          <cell r="W83" t="str">
            <v>gbif</v>
          </cell>
          <cell r="X83">
            <v>7</v>
          </cell>
          <cell r="Y83" t="str">
            <v>INSDC Host Organism Sequences</v>
          </cell>
          <cell r="Z83" t="str">
            <v>PO</v>
          </cell>
        </row>
        <row r="84">
          <cell r="V84" t="str">
            <v>d8cd16ba-bb74-4420-821e-083f2bac17c2</v>
          </cell>
          <cell r="W84" t="str">
            <v>gbif</v>
          </cell>
          <cell r="X84">
            <v>1085</v>
          </cell>
          <cell r="Y84" t="str">
            <v>INSDC Sequences</v>
          </cell>
          <cell r="Z84" t="str">
            <v>PO</v>
          </cell>
        </row>
        <row r="85">
          <cell r="V85" t="str">
            <v>040c5662-da76-4782-a48e-cdea1892d14c</v>
          </cell>
          <cell r="W85" t="str">
            <v>gbif</v>
          </cell>
          <cell r="X85">
            <v>305</v>
          </cell>
          <cell r="Y85" t="str">
            <v>International Barcode of Life project (iBOL)</v>
          </cell>
          <cell r="Z85" t="str">
            <v>PO</v>
          </cell>
        </row>
        <row r="86">
          <cell r="V86" t="str">
            <v>9aef1508-dfcf-447e-bb4a-cf6ee66832eb</v>
          </cell>
          <cell r="W86" t="str">
            <v>gbif</v>
          </cell>
          <cell r="X86">
            <v>486</v>
          </cell>
          <cell r="Y86" t="str">
            <v>IO PAS Arctic Zooplankton</v>
          </cell>
          <cell r="Z86" t="str">
            <v>PA</v>
          </cell>
        </row>
        <row r="87">
          <cell r="V87" t="str">
            <v>c4041add-8d3f-432b-b3c3-7e82024b798f</v>
          </cell>
          <cell r="W87" t="str">
            <v>gbif</v>
          </cell>
          <cell r="X87">
            <v>18</v>
          </cell>
          <cell r="Y87" t="str">
            <v>IO PAS Benthic Hydrozoa</v>
          </cell>
          <cell r="Z87" t="str">
            <v>PA</v>
          </cell>
        </row>
        <row r="88">
          <cell r="V88" t="str">
            <v>b33ca13f-fbd6-415e-9e29-72e227610a45</v>
          </cell>
          <cell r="W88" t="str">
            <v>gbif</v>
          </cell>
          <cell r="X88">
            <v>5</v>
          </cell>
          <cell r="Y88" t="str">
            <v>IO PAS Polychaeta</v>
          </cell>
          <cell r="Z88" t="str">
            <v>PA</v>
          </cell>
        </row>
        <row r="89">
          <cell r="V89" t="str">
            <v>771ca2ae-f336-495f-8a11-b700c0118454</v>
          </cell>
          <cell r="W89" t="str">
            <v>gbif</v>
          </cell>
          <cell r="X89">
            <v>217</v>
          </cell>
          <cell r="Y89" t="str">
            <v>IPOE_Schnack_Polychaeta</v>
          </cell>
          <cell r="Z89" t="str">
            <v>PA</v>
          </cell>
        </row>
        <row r="90">
          <cell r="V90" t="str">
            <v>https://marineinfo.org/id/dataset/4524</v>
          </cell>
          <cell r="W90" t="str">
            <v>emodnet</v>
          </cell>
          <cell r="X90" t="e">
            <v>#N/A</v>
          </cell>
          <cell r="Y90" t="str">
            <v>IRD, UMR EME, Sète, France</v>
          </cell>
          <cell r="Z90" t="str">
            <v>PO</v>
          </cell>
        </row>
        <row r="91">
          <cell r="V91" t="str">
            <v>cd7553aa-08aa-463e-bae3-aedd989b370a</v>
          </cell>
          <cell r="W91" t="str">
            <v>gbif</v>
          </cell>
          <cell r="X91">
            <v>37</v>
          </cell>
          <cell r="Y91" t="str">
            <v>iSpot British Isles observations</v>
          </cell>
          <cell r="Z91" t="str">
            <v>PO</v>
          </cell>
        </row>
        <row r="92">
          <cell r="V92" t="str">
            <v>93c8cc03-30cf-474e-8173-dbe5a22a5d28</v>
          </cell>
          <cell r="W92" t="str">
            <v>gbif</v>
          </cell>
          <cell r="X92">
            <v>192957</v>
          </cell>
          <cell r="Y92" t="str">
            <v>JNCC seabird distribution and abundance data (all trips) from ESAS database</v>
          </cell>
          <cell r="Z92" t="str">
            <v>PO</v>
          </cell>
        </row>
        <row r="93">
          <cell r="V93" t="str">
            <v>1e738a03-dce9-4bbb-879f-d58c79a24c3c</v>
          </cell>
          <cell r="W93" t="str">
            <v>gbif</v>
          </cell>
          <cell r="X93">
            <v>8</v>
          </cell>
          <cell r="Y93" t="str">
            <v>L. IS dataset. Cyanoprocaryota, Lichens, Bryophyte</v>
          </cell>
          <cell r="Z93" t="str">
            <v>PO</v>
          </cell>
        </row>
        <row r="94">
          <cell r="V94" t="str">
            <v>df12ca07-f133-4550-ab3b-fde13f0e76ba</v>
          </cell>
          <cell r="W94" t="str">
            <v>gbif</v>
          </cell>
          <cell r="X94">
            <v>191</v>
          </cell>
          <cell r="Y94" t="str">
            <v>Lajitietokeskus/FinBIF - Notebook, general observations</v>
          </cell>
          <cell r="Z94" t="str">
            <v>PO</v>
          </cell>
        </row>
        <row r="95">
          <cell r="V95" t="str">
            <v>95e464b4-e286-414b-9c59-6fdc9a4afc14</v>
          </cell>
          <cell r="W95" t="str">
            <v>gbif</v>
          </cell>
          <cell r="X95">
            <v>1</v>
          </cell>
          <cell r="Y95" t="str">
            <v>Lipid classes in zooplankton Nansen Legacy Q4</v>
          </cell>
          <cell r="Z95" t="str">
            <v>PA</v>
          </cell>
        </row>
        <row r="96">
          <cell r="V96" t="str">
            <v>52076a40-4d20-4ebc-8e08-3c47adb388eb</v>
          </cell>
          <cell r="W96" t="str">
            <v>obis</v>
          </cell>
          <cell r="X96">
            <v>318</v>
          </cell>
          <cell r="Y96" t="str">
            <v>Mackerel and Horse Mackerel Eggs Survey</v>
          </cell>
          <cell r="Z96" t="str">
            <v>PO</v>
          </cell>
        </row>
        <row r="97">
          <cell r="V97" t="str">
            <v>1a8e24f2-98dd-4028-9a6a-66539db4e2ef</v>
          </cell>
          <cell r="W97" t="str">
            <v>gbif</v>
          </cell>
          <cell r="X97">
            <v>58</v>
          </cell>
          <cell r="Y97" t="str">
            <v>Macrobenthos of the continental slope north of Svalbard from the Nansen Legacy joint cruise JC3 in Feb/Mar 2023.</v>
          </cell>
          <cell r="Z97" t="str">
            <v>PA</v>
          </cell>
        </row>
        <row r="98">
          <cell r="V98" t="str">
            <v>9bfd4499-050e-41b7-93a8-72d9e2490e21</v>
          </cell>
          <cell r="W98" t="str">
            <v>gbif</v>
          </cell>
          <cell r="X98">
            <v>64</v>
          </cell>
          <cell r="Y98" t="str">
            <v>Macrozoobenthos composition, abundance and biomass in the Arctic Ocean along a transect between Svalbard and the Makarov Basin 1991</v>
          </cell>
          <cell r="Z98" t="str">
            <v>PO</v>
          </cell>
        </row>
        <row r="99">
          <cell r="V99" t="str">
            <v>6bae1725-5a4d-4e69-8ac2-968a7f091124</v>
          </cell>
          <cell r="W99" t="str">
            <v>gbif</v>
          </cell>
          <cell r="X99">
            <v>8</v>
          </cell>
          <cell r="Y99" t="str">
            <v>Marine invertebrates registered on the Nansen Legacy JC3 Winter Gaps cruise 19th February - 11th March 2022</v>
          </cell>
          <cell r="Z99" t="str">
            <v>PA</v>
          </cell>
        </row>
        <row r="100">
          <cell r="V100" t="str">
            <v>0387adc4-c0b6-4072-b5f2-b819b4cfa30d</v>
          </cell>
          <cell r="W100" t="str">
            <v>obis</v>
          </cell>
          <cell r="X100" t="e">
            <v>#N/A</v>
          </cell>
          <cell r="Y100" t="str">
            <v>Marine Recorder Snapshot extract of surveys entered by NatureScot</v>
          </cell>
          <cell r="Z100" t="str">
            <v>PA</v>
          </cell>
        </row>
        <row r="101">
          <cell r="V101" t="str">
            <v>e69be30f-84e8-4c21-a7ce-9fb4fb14ce6a</v>
          </cell>
          <cell r="W101" t="str">
            <v>obis</v>
          </cell>
          <cell r="X101" t="e">
            <v>#N/A</v>
          </cell>
          <cell r="Y101" t="str">
            <v>Marine Recorder Snapshot extract of surveys entered by SeaSearch</v>
          </cell>
          <cell r="Z101" t="str">
            <v>PA</v>
          </cell>
        </row>
        <row r="102">
          <cell r="V102" t="str">
            <v>3fc4ed1b-9026-47a9-857f-f6543c444874</v>
          </cell>
          <cell r="W102" t="str">
            <v>gbif</v>
          </cell>
          <cell r="X102">
            <v>36</v>
          </cell>
          <cell r="Y102" t="str">
            <v>Megafauna at the Haakon Mosby mud volcano (the Barents Sea) based on image analysis.</v>
          </cell>
          <cell r="Z102" t="str">
            <v>PA</v>
          </cell>
        </row>
        <row r="103">
          <cell r="V103" t="str">
            <v>d707f7a6-c028-45c5-82ff-e1a22f9ddfe6</v>
          </cell>
          <cell r="W103" t="str">
            <v>gbif</v>
          </cell>
          <cell r="X103">
            <v>3</v>
          </cell>
          <cell r="Y103" t="str">
            <v>Microbial community 16S rRNA from Fram Strait water samples PS85 2014</v>
          </cell>
          <cell r="Z103" t="str">
            <v>PA</v>
          </cell>
        </row>
        <row r="104">
          <cell r="V104" t="str">
            <v>4f8b0628-7833-46e6-8871-9a50922b4665</v>
          </cell>
          <cell r="W104" t="str">
            <v>gbif</v>
          </cell>
          <cell r="X104">
            <v>6</v>
          </cell>
          <cell r="Y104" t="str">
            <v>Microbial eukaryotes in an Arctic under-ice spring bloom north of Svalbard.</v>
          </cell>
          <cell r="Z104" t="str">
            <v>PA</v>
          </cell>
        </row>
        <row r="105">
          <cell r="V105" t="str">
            <v>f03a7746-0e43-49a5-b38e-3f28668aacb4</v>
          </cell>
          <cell r="W105" t="str">
            <v>gbif</v>
          </cell>
          <cell r="X105">
            <v>2</v>
          </cell>
          <cell r="Y105" t="str">
            <v>MIR-PIB Baltic Sea Benthic Data from Research Cruises</v>
          </cell>
          <cell r="Z105" t="str">
            <v>PA</v>
          </cell>
        </row>
        <row r="106">
          <cell r="V106" t="str">
            <v>fe78e7ec-b95e-402d-bbac-e336a26f18f0</v>
          </cell>
          <cell r="W106" t="str">
            <v>gbif</v>
          </cell>
          <cell r="X106">
            <v>2</v>
          </cell>
          <cell r="Y106" t="str">
            <v>Mollusc data of Molltax, Norway</v>
          </cell>
          <cell r="Z106" t="str">
            <v>PO</v>
          </cell>
        </row>
        <row r="107">
          <cell r="V107" t="str">
            <v>fe88d786-ad19-4db3-9527-c1a33f0128e5</v>
          </cell>
          <cell r="W107" t="str">
            <v>gbif</v>
          </cell>
          <cell r="X107">
            <v>362</v>
          </cell>
          <cell r="Y107" t="str">
            <v>Monitoring marine species near HÃ¥Ã¸ya, Inner Oslofjord (Norway) using fyke nets</v>
          </cell>
          <cell r="Z107" t="str">
            <v>singleOccurrence</v>
          </cell>
        </row>
        <row r="108">
          <cell r="V108" t="str">
            <v>c4db5fd0-e2b6-4737-995e-d895bc596d86</v>
          </cell>
          <cell r="W108" t="str">
            <v>gbif</v>
          </cell>
          <cell r="X108">
            <v>3224</v>
          </cell>
          <cell r="Y108" t="str">
            <v>Morphotaxa Occurrence Data on Schulz Bank 2017-2018, Arctic Mid-Ocean Ridge</v>
          </cell>
          <cell r="Z108" t="str">
            <v>PA</v>
          </cell>
        </row>
        <row r="109">
          <cell r="V109" t="str">
            <v>6ac3f774-d9fb-4796-b3e9-92bf6c81c084</v>
          </cell>
          <cell r="W109" t="str">
            <v>gbif</v>
          </cell>
          <cell r="X109">
            <v>6124</v>
          </cell>
          <cell r="Y109" t="str">
            <v>NABU|naturgucker</v>
          </cell>
          <cell r="Z109" t="str">
            <v>PO</v>
          </cell>
        </row>
        <row r="110">
          <cell r="V110" t="str">
            <v>6d28a527-bf84-4e58-b133-0e60987b5e7c</v>
          </cell>
          <cell r="W110" t="str">
            <v>gbif</v>
          </cell>
          <cell r="X110">
            <v>16</v>
          </cell>
          <cell r="Y110" t="str">
            <v>NaGISA Project</v>
          </cell>
          <cell r="Z110" t="str">
            <v>PO</v>
          </cell>
        </row>
        <row r="111">
          <cell r="V111" t="str">
            <v>89fd9e80-3053-44e8-a141-25682f59f9a6</v>
          </cell>
          <cell r="W111" t="str">
            <v>gbif</v>
          </cell>
          <cell r="X111">
            <v>62</v>
          </cell>
          <cell r="Y111" t="str">
            <v>Nansen Legacy JC1 ice algae biodiversity</v>
          </cell>
          <cell r="Z111" t="str">
            <v>PA</v>
          </cell>
        </row>
        <row r="112">
          <cell r="V112" t="str">
            <v>784367b4-ff7a-49bf-af68-041daaa19ba2</v>
          </cell>
          <cell r="W112" t="str">
            <v>gbif</v>
          </cell>
          <cell r="X112">
            <v>130</v>
          </cell>
          <cell r="Y112" t="str">
            <v>Nansen Legacy JC1 mesozooplankton biodiversity</v>
          </cell>
          <cell r="Z112" t="str">
            <v>PA</v>
          </cell>
        </row>
        <row r="113">
          <cell r="V113" t="str">
            <v>1ff0c3ee-06b7-4a88-ac94-bd7cf2df840f</v>
          </cell>
          <cell r="W113" t="str">
            <v>gbif</v>
          </cell>
          <cell r="X113">
            <v>202</v>
          </cell>
          <cell r="Y113" t="str">
            <v>Nansen Legacy JC1 phytoplankton biodiversity</v>
          </cell>
          <cell r="Z113" t="str">
            <v>PA</v>
          </cell>
        </row>
        <row r="114">
          <cell r="V114" t="str">
            <v>14ac1d06-c192-44fc-8a97-cc2eb7623133</v>
          </cell>
          <cell r="W114" t="str">
            <v>gbif</v>
          </cell>
          <cell r="X114">
            <v>112</v>
          </cell>
          <cell r="Y114" t="str">
            <v>Nansen Legacy JC2-1 ice algae biodiversity</v>
          </cell>
          <cell r="Z114" t="str">
            <v>PA</v>
          </cell>
        </row>
        <row r="115">
          <cell r="V115" t="str">
            <v>6fe40051-d4f4-44ac-ae2c-ba5281293174</v>
          </cell>
          <cell r="W115" t="str">
            <v>gbif</v>
          </cell>
          <cell r="X115">
            <v>176</v>
          </cell>
          <cell r="Y115" t="str">
            <v>Nansen Legacy Q2 ice algae biodiversity</v>
          </cell>
          <cell r="Z115" t="str">
            <v>PA</v>
          </cell>
        </row>
        <row r="116">
          <cell r="V116" t="str">
            <v>9e4137ee-6d4d-4eda-b17c-e132085e6a11</v>
          </cell>
          <cell r="W116" t="str">
            <v>gbif</v>
          </cell>
          <cell r="X116">
            <v>139</v>
          </cell>
          <cell r="Y116" t="str">
            <v>Nansen Legacy Q2 ice algae biodiversity slurpgun</v>
          </cell>
          <cell r="Z116" t="str">
            <v>PA</v>
          </cell>
        </row>
        <row r="117">
          <cell r="V117" t="str">
            <v>b54343b5-f728-4394-ab68-89bc6f209310</v>
          </cell>
          <cell r="W117" t="str">
            <v>gbif</v>
          </cell>
          <cell r="X117">
            <v>155</v>
          </cell>
          <cell r="Y117" t="str">
            <v>Nansen Legacy Q3 phytoplankton biodiversity</v>
          </cell>
          <cell r="Z117" t="str">
            <v>PA</v>
          </cell>
        </row>
        <row r="118">
          <cell r="V118" t="str">
            <v>c2e10b6c-52b2-45d7-819a-66383fb6dfd6</v>
          </cell>
          <cell r="W118" t="str">
            <v>gbif</v>
          </cell>
          <cell r="X118">
            <v>167</v>
          </cell>
          <cell r="Y118" t="str">
            <v>Nansen Legacy Seasonal Study Q1 2nd March - 25th March 2021 Mesozooplankton Biodiversity</v>
          </cell>
          <cell r="Z118" t="str">
            <v>PA</v>
          </cell>
        </row>
        <row r="119">
          <cell r="V119" t="str">
            <v>84b9a51f-ec2e-41dc-9d7a-1e3aa411b939</v>
          </cell>
          <cell r="W119" t="str">
            <v>gbif</v>
          </cell>
          <cell r="X119">
            <v>4323</v>
          </cell>
          <cell r="Y119" t="str">
            <v>National fish tag database</v>
          </cell>
          <cell r="Z119" t="str">
            <v>PO</v>
          </cell>
        </row>
        <row r="120">
          <cell r="V120" t="str">
            <v>6c7d1ea7-6586-46f9-a3b4-714f249cd838</v>
          </cell>
          <cell r="W120" t="str">
            <v>gbif</v>
          </cell>
          <cell r="X120">
            <v>1</v>
          </cell>
          <cell r="Y120" t="str">
            <v>New and little known species of Lepechinella (Crustacea, Amphipoda, Lepechinellidae) and an allied new genus Lepesubchela from the North Atlantic</v>
          </cell>
          <cell r="Z120" t="str">
            <v>PO</v>
          </cell>
        </row>
        <row r="121">
          <cell r="V121" t="str">
            <v>2c28a663-db16-48d3-9cd0-3c7ec8d8d873</v>
          </cell>
          <cell r="W121" t="str">
            <v>gbif</v>
          </cell>
          <cell r="X121">
            <v>23</v>
          </cell>
          <cell r="Y121" t="str">
            <v>NINA Vanndata Ã¸vrige arter</v>
          </cell>
          <cell r="Z121" t="str">
            <v>PO</v>
          </cell>
        </row>
        <row r="122">
          <cell r="V122" t="str">
            <v>a639542a-654a-427b-9cf1-bde1953bbb52</v>
          </cell>
          <cell r="W122" t="str">
            <v>gbif</v>
          </cell>
          <cell r="X122">
            <v>1864</v>
          </cell>
          <cell r="Y122" t="str">
            <v>NINA Vanndata fisk</v>
          </cell>
          <cell r="Z122" t="str">
            <v>PO</v>
          </cell>
        </row>
        <row r="123">
          <cell r="V123" t="str">
            <v>a449c6d1-7a79-4b84-a31d-028a3a70b0cb</v>
          </cell>
          <cell r="W123" t="str">
            <v>obis</v>
          </cell>
          <cell r="X123">
            <v>103</v>
          </cell>
          <cell r="Y123" t="str">
            <v>North Atlantic and Arctic Amphipoda sampled during the IceAGE project</v>
          </cell>
          <cell r="Z123" t="str">
            <v>PA</v>
          </cell>
        </row>
        <row r="124">
          <cell r="V124" t="str">
            <v>2ec0fd46-8901-414d-b187-ccfaab90ba64</v>
          </cell>
          <cell r="W124" t="str">
            <v>gbif</v>
          </cell>
          <cell r="X124">
            <v>15</v>
          </cell>
          <cell r="Y124" t="str">
            <v>North Atlantic and Arctic Cumacea sampled during the IceAGE (2011) and PASCAL (2017) project</v>
          </cell>
          <cell r="Z124" t="str">
            <v>PA</v>
          </cell>
        </row>
        <row r="125">
          <cell r="V125" t="str">
            <v>bfa5e693-7ed4-456c-a276-1a9807d6f27a</v>
          </cell>
          <cell r="W125" t="str">
            <v>obis</v>
          </cell>
          <cell r="X125">
            <v>9</v>
          </cell>
          <cell r="Y125" t="str">
            <v>North Atlantic and Arctic Cumacea sampled during the IceAGE (2011) and PASCAL (2017) project</v>
          </cell>
          <cell r="Z125" t="str">
            <v>PA</v>
          </cell>
        </row>
        <row r="126">
          <cell r="V126" t="str">
            <v>7137155d-f555-449c-9a9b-28af6f17c4a4</v>
          </cell>
          <cell r="W126" t="str">
            <v>obis</v>
          </cell>
          <cell r="X126">
            <v>22</v>
          </cell>
          <cell r="Y126" t="str">
            <v>North Atlantic and Arctic Isopoda sampled during the BIOICE project</v>
          </cell>
          <cell r="Z126" t="str">
            <v>PA</v>
          </cell>
        </row>
        <row r="127">
          <cell r="V127" t="str">
            <v>cd1f299a-929a-4a51-b59e-bd5417d65d9c</v>
          </cell>
          <cell r="W127" t="str">
            <v>obis</v>
          </cell>
          <cell r="X127">
            <v>118</v>
          </cell>
          <cell r="Y127" t="str">
            <v>North Atlantic and Arctic Isopoda sampled during the IceAGE project</v>
          </cell>
          <cell r="Z127" t="str">
            <v>PA</v>
          </cell>
        </row>
        <row r="128">
          <cell r="V128" t="str">
            <v>492d63a8-4978-4bc7-acd8-7d0e3ac0e744</v>
          </cell>
          <cell r="W128" t="str">
            <v>gbif</v>
          </cell>
          <cell r="X128">
            <v>399955</v>
          </cell>
          <cell r="Y128" t="str">
            <v>Norwegian Biodiversity Information Centre - Other datasets</v>
          </cell>
          <cell r="Z128" t="str">
            <v>PO</v>
          </cell>
        </row>
        <row r="129">
          <cell r="V129" t="str">
            <v>ea0bb0f7-84cc-4541-96a2-837003f31d99</v>
          </cell>
          <cell r="W129" t="str">
            <v>gbif</v>
          </cell>
          <cell r="X129">
            <v>23</v>
          </cell>
          <cell r="Y129" t="str">
            <v>Norwegian freshwater lake fish inventory</v>
          </cell>
          <cell r="Z129" t="str">
            <v>PA</v>
          </cell>
        </row>
        <row r="130">
          <cell r="V130" t="str">
            <v>b124e1e0-4755-430f-9eab-894f25a9b59c</v>
          </cell>
          <cell r="W130" t="str">
            <v>gbif</v>
          </cell>
          <cell r="X130">
            <v>361</v>
          </cell>
          <cell r="Y130" t="str">
            <v>Norwegian Species Observation Service</v>
          </cell>
          <cell r="Z130" t="str">
            <v>PO</v>
          </cell>
        </row>
        <row r="131">
          <cell r="V131" t="str">
            <v>https://marineinfo.org/id/dataset/2</v>
          </cell>
          <cell r="W131" t="str">
            <v>emodnet</v>
          </cell>
          <cell r="X131" t="e">
            <v>#N/A</v>
          </cell>
          <cell r="Y131" t="str">
            <v>NUI</v>
          </cell>
          <cell r="Z131" t="str">
            <v>PO</v>
          </cell>
        </row>
        <row r="132">
          <cell r="V132" t="str">
            <v>8a863029-f435-446a-821e-275f4f641165</v>
          </cell>
          <cell r="W132" t="str">
            <v>gbif</v>
          </cell>
          <cell r="X132">
            <v>49799</v>
          </cell>
          <cell r="Y132" t="str">
            <v>Observation.org, Nature data from around the World</v>
          </cell>
          <cell r="Z132" t="str">
            <v>PO</v>
          </cell>
        </row>
        <row r="133">
          <cell r="V133" t="str">
            <v>83447e40-f762-11e1-a439-00145eb45e9a</v>
          </cell>
          <cell r="W133" t="str">
            <v>gbif</v>
          </cell>
          <cell r="X133">
            <v>15</v>
          </cell>
          <cell r="Y133" t="str">
            <v>Observational database of Icelandic plants</v>
          </cell>
          <cell r="Z133" t="str">
            <v>PO</v>
          </cell>
        </row>
        <row r="134">
          <cell r="V134" t="str">
            <v>https://marineinfo.org/id/dataset/6513</v>
          </cell>
          <cell r="W134" t="str">
            <v>emodnet</v>
          </cell>
          <cell r="X134">
            <v>2</v>
          </cell>
          <cell r="Y134" t="str">
            <v>Occurrence of Eukaryotes in the size fraction &gt;300 micrometres, collected worldwide during the Tara Oceans expedition (2009-2013) using a Multinet and analysed on a ZooScan imaging platform</v>
          </cell>
          <cell r="Z134" t="str">
            <v>PA</v>
          </cell>
        </row>
        <row r="135">
          <cell r="V135" t="str">
            <v>1aaec653-c71c-4695-9b6e-0e26214dd817</v>
          </cell>
          <cell r="W135" t="str">
            <v>gbif</v>
          </cell>
          <cell r="X135">
            <v>2</v>
          </cell>
          <cell r="Y135" t="str">
            <v>Occurrence records of southern African aquatic biodiversity</v>
          </cell>
          <cell r="Z135" t="str">
            <v>PA</v>
          </cell>
        </row>
        <row r="136">
          <cell r="V136" t="str">
            <v>8e6636ad-0b6a-426a-9515-985288f558ba</v>
          </cell>
          <cell r="W136" t="str">
            <v>gbif</v>
          </cell>
          <cell r="X136">
            <v>103</v>
          </cell>
          <cell r="Y136" t="str">
            <v>On the composition of the benthic fauna of the western Fram Strait</v>
          </cell>
          <cell r="Z136" t="str">
            <v>PA</v>
          </cell>
        </row>
        <row r="137">
          <cell r="V137" t="str">
            <v>a00e14eb-3398-4c40-87f6-41e78081e7ef</v>
          </cell>
          <cell r="W137" t="str">
            <v>gbif</v>
          </cell>
          <cell r="X137">
            <v>48</v>
          </cell>
          <cell r="Y137" t="str">
            <v>Phytoplankton community composition in the water column of East Greenland fjords, August 2022</v>
          </cell>
          <cell r="Z137" t="str">
            <v>PA</v>
          </cell>
        </row>
        <row r="138">
          <cell r="V138" t="str">
            <v>e8f6f42e-0e33-4382-9998-9a178eac3191</v>
          </cell>
          <cell r="W138" t="str">
            <v>obis</v>
          </cell>
          <cell r="X138">
            <v>4</v>
          </cell>
          <cell r="Y138" t="str">
            <v>Plankton community in Multinet (300µm), Tara Oceans cruise</v>
          </cell>
          <cell r="Z138" t="str">
            <v>PA</v>
          </cell>
        </row>
        <row r="139">
          <cell r="V139" t="str">
            <v>8e9974a4-12e2-475f-9aec-5abdf24a1f50</v>
          </cell>
          <cell r="W139" t="str">
            <v>gbif</v>
          </cell>
          <cell r="X139">
            <v>29</v>
          </cell>
          <cell r="Y139" t="str">
            <v>Programme CROMIS: carnet de plongÃ©e en ligne de la FFESSM-Observations d&amp;#39;espÃ¨ces subaquatiques collectÃ©es par les utilisateurs de CROMIS</v>
          </cell>
          <cell r="Z139" t="str">
            <v>PO</v>
          </cell>
        </row>
        <row r="140">
          <cell r="V140" t="str">
            <v>cdf3886e-edc7-41f9-9d84-6d9e83f60971</v>
          </cell>
          <cell r="W140" t="str">
            <v>gbif</v>
          </cell>
          <cell r="X140">
            <v>2</v>
          </cell>
          <cell r="Y140" t="str">
            <v>Protist communities in moored long-term sediment traps (Fram Strait, Arctic)  Preservation with mercury chloride allows for PCR-based molecular genetic analyses</v>
          </cell>
          <cell r="Z140" t="str">
            <v>singleOccurrence</v>
          </cell>
        </row>
        <row r="141">
          <cell r="V141" t="str">
            <v>6f09416a-7540-420a-ab66-d3223ff3af48</v>
          </cell>
          <cell r="W141" t="str">
            <v>gbif</v>
          </cell>
          <cell r="X141">
            <v>26</v>
          </cell>
          <cell r="Y141" t="str">
            <v>Pukkellaks i Norge 2017</v>
          </cell>
          <cell r="Z141" t="str">
            <v>PO</v>
          </cell>
        </row>
        <row r="142">
          <cell r="V142" t="str">
            <v>b636df3e-401f-4832-bdb6-e9d477229448</v>
          </cell>
          <cell r="W142" t="str">
            <v>obis</v>
          </cell>
          <cell r="X142" t="e">
            <v>#N/A</v>
          </cell>
          <cell r="Y142" t="str">
            <v>Red king crab survey data</v>
          </cell>
          <cell r="Z142" t="str">
            <v>PA</v>
          </cell>
        </row>
        <row r="143">
          <cell r="V143" t="str">
            <v>152259dc-9c20-4c1a-9644-8e4b509d4f73</v>
          </cell>
          <cell r="W143" t="str">
            <v>obis</v>
          </cell>
          <cell r="X143">
            <v>87</v>
          </cell>
          <cell r="Y143" t="str">
            <v>rp-sledge_2006-2022</v>
          </cell>
          <cell r="Z143" t="str">
            <v>PA</v>
          </cell>
        </row>
        <row r="144">
          <cell r="V144" t="str">
            <v>1ed9312d-76f1-4c66-80fa-a7b633a2f0d1</v>
          </cell>
          <cell r="W144" t="str">
            <v>gbif</v>
          </cell>
          <cell r="X144">
            <v>4</v>
          </cell>
          <cell r="Y144" t="str">
            <v>Sårbar, verdifull og karakteristisk natur i Sognefjorden</v>
          </cell>
          <cell r="Z144" t="str">
            <v>PA</v>
          </cell>
        </row>
        <row r="145">
          <cell r="V145" t="str">
            <v>62df6800-27f8-4f7a-bd8f-5ff82893b841</v>
          </cell>
          <cell r="W145" t="str">
            <v>gbif</v>
          </cell>
          <cell r="X145">
            <v>3</v>
          </cell>
          <cell r="Y145" t="str">
            <v>SCAR Biogeographic Atlas of the Southern Ocean - Tanaidacea - Data</v>
          </cell>
          <cell r="Z145" t="str">
            <v>PA</v>
          </cell>
        </row>
        <row r="146">
          <cell r="V146" t="str">
            <v>a6f63e2a-5e06-4198-9306-e2a916454761</v>
          </cell>
          <cell r="W146" t="str">
            <v>gbif</v>
          </cell>
          <cell r="X146">
            <v>7</v>
          </cell>
          <cell r="Y146" t="str">
            <v>Sea-ice associated fauna biodiversity sampled by divers under the ice from the Nansen Legacy cruise Q2 (cruise number: 2021704)</v>
          </cell>
          <cell r="Z146" t="str">
            <v>PA</v>
          </cell>
        </row>
        <row r="147">
          <cell r="V147" t="str">
            <v>990e845f-836b-4467-bc5f-46c8495259ec</v>
          </cell>
          <cell r="W147" t="str">
            <v>gbif</v>
          </cell>
          <cell r="X147">
            <v>4597</v>
          </cell>
          <cell r="Y147" t="str">
            <v>Seasearch Marine Surveys in Scotland</v>
          </cell>
          <cell r="Z147" t="str">
            <v>PO</v>
          </cell>
        </row>
        <row r="148">
          <cell r="V148" t="str">
            <v>79c59307-5753-4ad6-a1a3-44e920a91bb3</v>
          </cell>
          <cell r="W148" t="str">
            <v>gbif</v>
          </cell>
          <cell r="X148">
            <v>14</v>
          </cell>
          <cell r="Y148" t="str">
            <v>Shotgun Metagenomic Sequencing of the Arctic Ocean during Winter-Spring Transition</v>
          </cell>
          <cell r="Z148" t="str">
            <v>PO</v>
          </cell>
        </row>
        <row r="149">
          <cell r="V149" t="str">
            <v>edd017b6-bf00-4b00-93ad-9789c42a36b1</v>
          </cell>
          <cell r="W149" t="str">
            <v>gbif</v>
          </cell>
          <cell r="X149">
            <v>5221</v>
          </cell>
          <cell r="Y149" t="str">
            <v>Species data for Scottish waters held and managed by Scottish Natural Heritage, derived from benthic surveys 1993 to 2018</v>
          </cell>
          <cell r="Z149" t="str">
            <v>PA</v>
          </cell>
        </row>
        <row r="150">
          <cell r="V150" t="str">
            <v>dc780d9c-9d52-43e0-af26-98ab6a1c3eb3</v>
          </cell>
          <cell r="W150" t="str">
            <v>gbif</v>
          </cell>
          <cell r="X150">
            <v>20</v>
          </cell>
          <cell r="Y150" t="str">
            <v>Species lists for benthic communities of Norwegian fjords from environmental surveys (data used in Sen et al. Estuarine, Coastal and Shelf Science 2022)</v>
          </cell>
          <cell r="Z150" t="str">
            <v>PA</v>
          </cell>
        </row>
        <row r="151">
          <cell r="V151" t="str">
            <v>0adbb185-f6f6-4015-ab4c-c28c3812127e</v>
          </cell>
          <cell r="W151" t="str">
            <v>gbif</v>
          </cell>
          <cell r="X151">
            <v>12</v>
          </cell>
          <cell r="Y151" t="str">
            <v>SSU rRNA amplicon of the Arctic Ocean during Winter-Spring Transition</v>
          </cell>
          <cell r="Z151" t="str">
            <v>PO</v>
          </cell>
        </row>
        <row r="152">
          <cell r="V152" t="str">
            <v>a60ba16c-b79d-4de5-b697-7bc1df464529</v>
          </cell>
          <cell r="W152" t="str">
            <v>gbif</v>
          </cell>
          <cell r="X152">
            <v>272</v>
          </cell>
          <cell r="Y152" t="str">
            <v>Talvik fish tag database</v>
          </cell>
          <cell r="Z152" t="str">
            <v>PA</v>
          </cell>
        </row>
        <row r="153">
          <cell r="V153" t="str">
            <v>4098c432-a6b6-4cbf-9d81-ac29ba03add9</v>
          </cell>
          <cell r="W153" t="str">
            <v>gbif</v>
          </cell>
          <cell r="X153">
            <v>22</v>
          </cell>
          <cell r="Y153" t="str">
            <v>Taxonomy and distribution of Pectinariidae (Annelida) from Iceland with a comparative analysis of uncinal morphology</v>
          </cell>
          <cell r="Z153" t="str">
            <v>PA</v>
          </cell>
        </row>
        <row r="154">
          <cell r="V154" t="str">
            <v>7a184e2e-1307-4473-afeb-6355a01b89d6</v>
          </cell>
          <cell r="W154" t="str">
            <v>gbif</v>
          </cell>
          <cell r="X154">
            <v>5</v>
          </cell>
          <cell r="Y154" t="str">
            <v>Trawl catch data from Nansen Legacy Cruise - Arctic Basin Joint Cruise 2-2</v>
          </cell>
          <cell r="Z154" t="str">
            <v>PA</v>
          </cell>
        </row>
        <row r="155">
          <cell r="V155" t="str">
            <v>76c0015e-c6e5-4039-acd8-b411ca0a67ff</v>
          </cell>
          <cell r="W155" t="str">
            <v>gbif</v>
          </cell>
          <cell r="X155">
            <v>1</v>
          </cell>
          <cell r="Y155" t="str">
            <v>Uncultered bacterium Targeted Locus (Loci)</v>
          </cell>
          <cell r="Z155" t="str">
            <v>singleOccurrence</v>
          </cell>
        </row>
        <row r="156">
          <cell r="V156" t="str">
            <v>9cdfd6cb-b1b0-4534-bdb0-a50a0e68076a</v>
          </cell>
          <cell r="W156" t="str">
            <v>gbif</v>
          </cell>
          <cell r="X156">
            <v>44</v>
          </cell>
          <cell r="Y156" t="str">
            <v>Under-ice Amphipods in the Greenland Sea and Fram Strait (Arctic): Environmental Controls and Seasonal Patterns Below the Pack Ice</v>
          </cell>
          <cell r="Z156" t="str">
            <v>PA</v>
          </cell>
        </row>
        <row r="157">
          <cell r="V157" t="str">
            <v>97d01261-0027-4e89-a0d2-4a7d700f5fdb</v>
          </cell>
          <cell r="W157" t="str">
            <v>gbif</v>
          </cell>
          <cell r="X157">
            <v>32</v>
          </cell>
          <cell r="Y157" t="str">
            <v>Verified marine records from Indicia-based surveys</v>
          </cell>
          <cell r="Z157" t="str">
            <v>PO</v>
          </cell>
        </row>
        <row r="158">
          <cell r="V158" t="str">
            <v>b0259f44-7a0a-4bb7-96f7-601567ce7da5</v>
          </cell>
          <cell r="W158" t="str">
            <v>gbif</v>
          </cell>
          <cell r="X158">
            <v>20</v>
          </cell>
          <cell r="Y158" t="str">
            <v>Vertebrates detected in marine water (collected August 2023) from the North Atlantic by the MSC Poesia cruise ship; inferred from 12S DNA metabarcoding data.</v>
          </cell>
          <cell r="Z158" t="str">
            <v>PO</v>
          </cell>
        </row>
        <row r="159">
          <cell r="V159" t="str">
            <v>090cef88-1d5d-4e20-8793-eed1156970f8</v>
          </cell>
          <cell r="W159" t="str">
            <v>gbif</v>
          </cell>
          <cell r="X159">
            <v>8</v>
          </cell>
          <cell r="Y159" t="str">
            <v>Vertebrates detected in marine water (collected July 2023) from the North Atlantic by the MSC Poesia cruise ship; inferred from 12S DNA metabarcoding data.</v>
          </cell>
          <cell r="Z159" t="str">
            <v>PO</v>
          </cell>
        </row>
        <row r="160">
          <cell r="V160" t="str">
            <v>4f5a16d8-0503-4452-af87-fa70b97721ef</v>
          </cell>
          <cell r="W160" t="str">
            <v>obis</v>
          </cell>
          <cell r="X160" t="e">
            <v>#N/A</v>
          </cell>
          <cell r="Y160" t="str">
            <v>Working Group on North Sea Cod and Plaice Egg Surveys</v>
          </cell>
          <cell r="Z160" t="str">
            <v>PO</v>
          </cell>
        </row>
        <row r="161">
          <cell r="V161" t="str">
            <v>710e76ea-f762-11e1-a439-00145eb45e9a</v>
          </cell>
          <cell r="W161" t="str">
            <v>gbif</v>
          </cell>
          <cell r="X161">
            <v>13</v>
          </cell>
          <cell r="Y161" t="str">
            <v>(Table 4) Carbon flux, paleoproductivity, relative abundance of foraminifera on sediment core PS2837-6</v>
          </cell>
          <cell r="Z161" t="str">
            <v>PO</v>
          </cell>
        </row>
        <row r="162">
          <cell r="V162" t="str">
            <v>90a2d1c2-f762-11e1-a439-00145eb45e9a</v>
          </cell>
          <cell r="W162" t="str">
            <v>gbif</v>
          </cell>
          <cell r="X162">
            <v>24</v>
          </cell>
          <cell r="Y162" t="str">
            <v>(Table 9) Planktonic foraminifer abundance of ODP Site 162-985</v>
          </cell>
          <cell r="Z162" t="str">
            <v>PO</v>
          </cell>
        </row>
        <row r="163">
          <cell r="V163" t="str">
            <v>8e37972f-9237-408b-8a2d-f1f19dff9104</v>
          </cell>
          <cell r="W163" t="str">
            <v>gbif</v>
          </cell>
          <cell r="X163">
            <v>17</v>
          </cell>
          <cell r="Y163" t="str">
            <v>1743-2010 National Marine Aquarium (NMA) United Kingdom Marine Fish Recording Scheme</v>
          </cell>
          <cell r="Z163" t="str">
            <v>PO</v>
          </cell>
        </row>
        <row r="164">
          <cell r="V164" t="str">
            <v>9afeee64-62f3-44b9-a2fb-794b2afcf50a</v>
          </cell>
          <cell r="W164" t="str">
            <v>obis</v>
          </cell>
          <cell r="X164" t="e">
            <v>#N/A</v>
          </cell>
          <cell r="Y164" t="str">
            <v>1743-2010 National Marine Aquarium (NMA) United Kingdom Marine Fish Recording Scheme</v>
          </cell>
          <cell r="Z164" t="str">
            <v>PO</v>
          </cell>
        </row>
        <row r="165">
          <cell r="V165" t="str">
            <v>ec12f461-df32-4c8a-b621-0abd1f6cdab3</v>
          </cell>
          <cell r="W165" t="str">
            <v>gbif</v>
          </cell>
          <cell r="X165">
            <v>1</v>
          </cell>
          <cell r="Y165" t="str">
            <v>Alabama Museum of Natural History Invertebrate Zoology (Arctos)</v>
          </cell>
          <cell r="Z165" t="str">
            <v>PO</v>
          </cell>
        </row>
        <row r="166">
          <cell r="V166" t="str">
            <v>451eb991-c1f4-479f-b1f8-7c1b4e8f9114</v>
          </cell>
          <cell r="W166" t="str">
            <v>gbif</v>
          </cell>
          <cell r="X166">
            <v>140</v>
          </cell>
          <cell r="Y166" t="str">
            <v>Archives of the Arctic Seas Zooplankton</v>
          </cell>
          <cell r="Z166" t="str">
            <v>PO</v>
          </cell>
        </row>
        <row r="167">
          <cell r="V167" t="str">
            <v>5a0e9dc9-d2b0-489e-91b6-c1e2aca0d62c</v>
          </cell>
          <cell r="W167" t="str">
            <v>gbif</v>
          </cell>
          <cell r="X167">
            <v>151</v>
          </cell>
          <cell r="Y167" t="str">
            <v>Arctic benthic invertebrate collection of the Zoological Institute of the Russian Academy of Science</v>
          </cell>
          <cell r="Z167" t="str">
            <v>PO</v>
          </cell>
        </row>
        <row r="168">
          <cell r="V168" t="str">
            <v>d499aef2-b1d9-4890-aeb3-5f0d1237b513</v>
          </cell>
          <cell r="W168" t="str">
            <v>gbif</v>
          </cell>
          <cell r="Y168" t="str">
            <v>Auburn University Museum of Natural History Fishes Voucher Collections</v>
          </cell>
          <cell r="Z168" t="str">
            <v>PO</v>
          </cell>
        </row>
        <row r="169">
          <cell r="V169" t="str">
            <v>84cdd6d0-f762-11e1-a439-00145eb45e9a</v>
          </cell>
          <cell r="W169" t="str">
            <v>gbif</v>
          </cell>
          <cell r="Y169" t="str">
            <v>Botanical Museum, Copenhagen, the Lichen Herbarium</v>
          </cell>
          <cell r="Z169" t="str">
            <v>PO</v>
          </cell>
        </row>
        <row r="170">
          <cell r="V170" t="str">
            <v>07ae2aa8-5031-4312-b26e-84a5c753daac</v>
          </cell>
          <cell r="W170" t="str">
            <v>gbif</v>
          </cell>
          <cell r="Y170" t="str">
            <v>Carnegie Museum of Natural History - Mollusks</v>
          </cell>
          <cell r="Z170" t="str">
            <v>PO</v>
          </cell>
        </row>
        <row r="171">
          <cell r="V171" t="str">
            <v>062b1492-5e8a-4b56-89f9-300bc06bba5d</v>
          </cell>
          <cell r="W171" t="str">
            <v>gbif</v>
          </cell>
          <cell r="Y171" t="str">
            <v>Catalogue of the type specimens of the Shirshov Institute of Oceanology collection of the ocean benthic fauna</v>
          </cell>
          <cell r="Z171" t="str">
            <v>PO</v>
          </cell>
        </row>
        <row r="172">
          <cell r="V172" t="str">
            <v>9668b676-f762-11e1-a439-00145eb45e9a</v>
          </cell>
          <cell r="W172" t="str">
            <v>gbif</v>
          </cell>
          <cell r="Y172" t="str">
            <v>Collection Crustacea SMF</v>
          </cell>
          <cell r="Z172" t="str">
            <v>PO</v>
          </cell>
        </row>
        <row r="173">
          <cell r="V173" t="str">
            <v>965e401a-f762-11e1-a439-00145eb45e9a</v>
          </cell>
          <cell r="W173" t="str">
            <v>gbif</v>
          </cell>
          <cell r="Y173" t="str">
            <v>Collection Polychaeta SMF</v>
          </cell>
          <cell r="Z173" t="str">
            <v>PO</v>
          </cell>
        </row>
        <row r="174">
          <cell r="V174" t="str">
            <v>70bf8d53-be76-4390-920a-300eee146141</v>
          </cell>
          <cell r="W174" t="str">
            <v>gbif</v>
          </cell>
          <cell r="X174">
            <v>74</v>
          </cell>
          <cell r="Y174" t="str">
            <v>Crustacea collection (Cru) at UiO NHM, Oslo</v>
          </cell>
          <cell r="Z174" t="str">
            <v>PO</v>
          </cell>
        </row>
        <row r="175">
          <cell r="V175" t="str">
            <v>02f57aa9-12ae-4c8c-9d9f-f8b3245cf31a</v>
          </cell>
          <cell r="W175" t="str">
            <v>gbif</v>
          </cell>
          <cell r="Y175" t="str">
            <v>Crustacea collection (TSZCr) The Arctic University Museum of Norway</v>
          </cell>
          <cell r="Z175" t="str">
            <v>PO</v>
          </cell>
        </row>
        <row r="176">
          <cell r="V176" t="str">
            <v>77e91a4f-7b9d-458d-b585-298aa1ef41f8</v>
          </cell>
          <cell r="W176" t="str">
            <v>gbif</v>
          </cell>
          <cell r="Y176" t="str">
            <v>Echinodermata (TSZE) The Arctic University Museum of Norway</v>
          </cell>
          <cell r="Z176" t="str">
            <v>PO</v>
          </cell>
        </row>
        <row r="177">
          <cell r="V177" t="str">
            <v>ef9a5f87-8a87-4a81-8c82-16194b055935</v>
          </cell>
          <cell r="W177" t="str">
            <v>gbif</v>
          </cell>
          <cell r="Y177" t="str">
            <v>Echinodermata collection of Shirshov Institute of Oceanology</v>
          </cell>
          <cell r="Z177" t="str">
            <v>PO</v>
          </cell>
        </row>
        <row r="178">
          <cell r="V178" t="str">
            <v>bf2a4bf0-5f31-11de-b67e-b8a03c50a862</v>
          </cell>
          <cell r="W178" t="str">
            <v>gbif</v>
          </cell>
          <cell r="X178">
            <v>3</v>
          </cell>
          <cell r="Y178" t="str">
            <v>Edinburgh (E) Herbarium Specimens</v>
          </cell>
          <cell r="Z178" t="str">
            <v>PO</v>
          </cell>
        </row>
        <row r="179">
          <cell r="V179" t="str">
            <v>d3c28e6c-1192-4ef4-a38a-df790df16dc3</v>
          </cell>
          <cell r="W179" t="str">
            <v>gbif</v>
          </cell>
          <cell r="Y179" t="str">
            <v>Estonian Museum of Natural History Department of Zoology</v>
          </cell>
          <cell r="Z179" t="str">
            <v>PO</v>
          </cell>
        </row>
        <row r="180">
          <cell r="V180" t="str">
            <v>b9baec9c-0b04-4b23-8f16-6933964e31d2</v>
          </cell>
          <cell r="W180" t="str">
            <v>gbif</v>
          </cell>
          <cell r="X180">
            <v>4</v>
          </cell>
          <cell r="Y180" t="str">
            <v>Fish collection (TSZP) The Arctic University Museum of Norway</v>
          </cell>
          <cell r="Z180" t="str">
            <v>PO</v>
          </cell>
        </row>
        <row r="181">
          <cell r="V181" t="str">
            <v>81ccd65e-1832-4d4c-aaaa-56541b71ae1b</v>
          </cell>
          <cell r="W181" t="str">
            <v>gbif</v>
          </cell>
          <cell r="Y181" t="str">
            <v>Fish collection NTNU University Museum</v>
          </cell>
          <cell r="Z181" t="str">
            <v>PO</v>
          </cell>
        </row>
        <row r="182">
          <cell r="V182" t="str">
            <v>8dbe67d7-26df-4810-a989-d246f0e93edb</v>
          </cell>
          <cell r="W182" t="str">
            <v>gbif</v>
          </cell>
          <cell r="X182">
            <v>34</v>
          </cell>
          <cell r="Y182" t="str">
            <v>Foraminifera and other protozoa (TSZF) The Arctic University Museum of Norway</v>
          </cell>
          <cell r="Z182" t="str">
            <v>PO</v>
          </cell>
        </row>
        <row r="183">
          <cell r="V183" t="str">
            <v>edd9b710-f3bb-4c49-9fa5-724cd4ecfc7d</v>
          </cell>
          <cell r="W183" t="str">
            <v>gbif</v>
          </cell>
          <cell r="Y183" t="str">
            <v>Freshwater pelagic invertebrates ecological collection NTNU University Museum</v>
          </cell>
          <cell r="Z183" t="str">
            <v>PO</v>
          </cell>
        </row>
        <row r="184">
          <cell r="V184" t="str">
            <v>e4deab67-0998-4140-b573-0ba1f624eb3e</v>
          </cell>
          <cell r="W184" t="str">
            <v>gbif</v>
          </cell>
          <cell r="X184">
            <v>114</v>
          </cell>
          <cell r="Y184" t="str">
            <v>Fungarium, Oslo (O) UiO</v>
          </cell>
          <cell r="Z184" t="str">
            <v>PO</v>
          </cell>
        </row>
        <row r="185">
          <cell r="V185" t="str">
            <v>7d3fbc21-38f9-43b5-98d4-1ed7c65f7103</v>
          </cell>
          <cell r="W185" t="str">
            <v>gbif</v>
          </cell>
          <cell r="Y185" t="str">
            <v>Gastropoda collection (TSZG) The Arctic University Museum of Norway</v>
          </cell>
          <cell r="Z185" t="str">
            <v>PO</v>
          </cell>
        </row>
        <row r="186">
          <cell r="V186" t="str">
            <v>828a3d8c-f762-11e1-a439-00145eb45e9a</v>
          </cell>
          <cell r="W186" t="str">
            <v>gbif</v>
          </cell>
          <cell r="X186">
            <v>2</v>
          </cell>
          <cell r="Y186" t="str">
            <v>Herbarium Senckenbergianum (FR) - Fungi</v>
          </cell>
          <cell r="Z186" t="str">
            <v>PO</v>
          </cell>
        </row>
        <row r="187">
          <cell r="V187" t="str">
            <v>8c30ff06-3b02-4f53-8f02-a0f6de1f7e71</v>
          </cell>
          <cell r="W187" t="str">
            <v>gbif</v>
          </cell>
          <cell r="X187">
            <v>377</v>
          </cell>
          <cell r="Y187" t="str">
            <v>Ichthyology Collection, University Museum Bergen, University of Bergen</v>
          </cell>
          <cell r="Z187" t="str">
            <v>PO</v>
          </cell>
        </row>
        <row r="188">
          <cell r="V188" t="str">
            <v>d185ab72-3518-4cb8-b9ad-79010d6eef70</v>
          </cell>
          <cell r="W188" t="str">
            <v>gbif</v>
          </cell>
          <cell r="X188">
            <v>178</v>
          </cell>
          <cell r="Y188" t="str">
            <v>Invertebrata varia (Luomus)</v>
          </cell>
          <cell r="Z188" t="str">
            <v>PO</v>
          </cell>
        </row>
        <row r="189">
          <cell r="V189" t="str">
            <v>ce697b4c-7803-47d8-81bd-5a172f4960b5</v>
          </cell>
          <cell r="W189" t="str">
            <v>gbif</v>
          </cell>
          <cell r="Y189" t="str">
            <v>Invertebrate collections, UiB</v>
          </cell>
          <cell r="Z189" t="str">
            <v>PO</v>
          </cell>
        </row>
        <row r="190">
          <cell r="V190" t="str">
            <v>f2ec825d-145a-42fd-9bfe-a411a557bc47</v>
          </cell>
          <cell r="W190" t="str">
            <v>gbif</v>
          </cell>
          <cell r="X190">
            <v>14</v>
          </cell>
          <cell r="Y190" t="str">
            <v>Invertebrates (Type Specimens) of the Swedish Museum of Natural History</v>
          </cell>
          <cell r="Z190" t="str">
            <v>PO</v>
          </cell>
        </row>
        <row r="191">
          <cell r="V191" t="str">
            <v>56aa0680-0c60-11dd-84cd-b8a03c50a862</v>
          </cell>
          <cell r="W191" t="str">
            <v>gbif</v>
          </cell>
          <cell r="X191">
            <v>363</v>
          </cell>
          <cell r="Y191" t="str">
            <v>Invertebrates Collection of the Swedish Museum of Natural History</v>
          </cell>
          <cell r="Z191" t="str">
            <v>PO</v>
          </cell>
        </row>
        <row r="192">
          <cell r="V192" t="str">
            <v>56caf05f-1364-4f24-85f6-0c82520c2792</v>
          </cell>
          <cell r="W192" t="str">
            <v>gbif</v>
          </cell>
          <cell r="Y192" t="str">
            <v>KUBI Ichthyology Tissue Collection</v>
          </cell>
          <cell r="Z192" t="str">
            <v>PO</v>
          </cell>
        </row>
        <row r="193">
          <cell r="V193" t="str">
            <v>fe1cedbd-3171-4370-b5b1-1323fc8492c7</v>
          </cell>
          <cell r="W193" t="str">
            <v>gbif</v>
          </cell>
          <cell r="X193">
            <v>1</v>
          </cell>
          <cell r="Y193" t="str">
            <v>LACM Echinoderms</v>
          </cell>
          <cell r="Z193" t="str">
            <v>PO</v>
          </cell>
        </row>
        <row r="194">
          <cell r="V194" t="str">
            <v>ec0ad39f-3370-4d51-a663-cb27abd2a6bb</v>
          </cell>
          <cell r="W194" t="str">
            <v>gbif</v>
          </cell>
          <cell r="X194">
            <v>5</v>
          </cell>
          <cell r="Y194" t="str">
            <v>LACM Malacology</v>
          </cell>
          <cell r="Z194" t="str">
            <v>PO</v>
          </cell>
        </row>
        <row r="195">
          <cell r="V195" t="str">
            <v>78c1a71e-abb2-49cf-abc8-efafb981b0e4</v>
          </cell>
          <cell r="W195" t="str">
            <v>gbif</v>
          </cell>
          <cell r="Y195" t="str">
            <v>Lichen herbarium TRH, NTNU University Museum</v>
          </cell>
          <cell r="Z195" t="str">
            <v>PO</v>
          </cell>
        </row>
        <row r="196">
          <cell r="V196" t="str">
            <v>7948250c-6958-4a29-a670-ed1015b26252</v>
          </cell>
          <cell r="W196" t="str">
            <v>gbif</v>
          </cell>
          <cell r="X196">
            <v>522</v>
          </cell>
          <cell r="Y196" t="str">
            <v>Lichen herbarium, Oslo (O) UiO</v>
          </cell>
          <cell r="Z196" t="str">
            <v>PO</v>
          </cell>
        </row>
        <row r="197">
          <cell r="V197" t="str">
            <v>e87a12af-fc4c-4315-bff7-c7b827379aca</v>
          </cell>
          <cell r="W197" t="str">
            <v>gbif</v>
          </cell>
          <cell r="Y197" t="str">
            <v>Lichen herbarium, The Arctic University Museum of Norway (TROM)</v>
          </cell>
          <cell r="Z197" t="str">
            <v>PO</v>
          </cell>
        </row>
        <row r="198">
          <cell r="V198" t="str">
            <v>fb1ecd28-f09e-4747-8bde-0b3d7a6f78d1</v>
          </cell>
          <cell r="W198" t="str">
            <v>gbif</v>
          </cell>
          <cell r="X198">
            <v>252</v>
          </cell>
          <cell r="Y198" t="str">
            <v>Lichen herbarium, UiB</v>
          </cell>
          <cell r="Z198" t="str">
            <v>PO</v>
          </cell>
        </row>
        <row r="199">
          <cell r="V199" t="str">
            <v>ead6339f-39f8-46be-b059-d1c48d88ab29</v>
          </cell>
          <cell r="W199" t="str">
            <v>gbif</v>
          </cell>
          <cell r="Y199" t="str">
            <v>Marine invertebrate collection NTNU University Museum</v>
          </cell>
          <cell r="Z199" t="str">
            <v>PO</v>
          </cell>
        </row>
        <row r="200">
          <cell r="V200" t="str">
            <v>e5d2aed2-a177-46ba-9ea8-c349160a4c2d</v>
          </cell>
          <cell r="W200" t="str">
            <v>gbif</v>
          </cell>
          <cell r="X200">
            <v>571</v>
          </cell>
          <cell r="Y200" t="str">
            <v>Mollusca (Luomus)</v>
          </cell>
          <cell r="Z200" t="str">
            <v>PO</v>
          </cell>
        </row>
        <row r="201">
          <cell r="V201" t="str">
            <v>4bfac3ea-8763-4f4b-a71a-76a6f5f243d3</v>
          </cell>
          <cell r="W201" t="str">
            <v>gbif</v>
          </cell>
          <cell r="X201">
            <v>12</v>
          </cell>
          <cell r="Y201" t="str">
            <v>Museum of Comparative Zoology, Harvard University</v>
          </cell>
          <cell r="Z201" t="str">
            <v>PO</v>
          </cell>
        </row>
        <row r="202">
          <cell r="V202" t="str">
            <v>7eb54e10-fd36-4139-8764-1fd8abc2bd67</v>
          </cell>
          <cell r="W202" t="str">
            <v>gbif</v>
          </cell>
          <cell r="Y202" t="str">
            <v>Mycology herbarium TRH, NTNU University Museum</v>
          </cell>
          <cell r="Z202" t="str">
            <v>PO</v>
          </cell>
        </row>
        <row r="203">
          <cell r="V203" t="str">
            <v>374e0d4c-cf9f-4e1a-97a4-14123ee1bb7e</v>
          </cell>
          <cell r="W203" t="str">
            <v>gbif</v>
          </cell>
          <cell r="Y203" t="str">
            <v>Mycology herbarium, The Arctic University Museum of Norway (TROM)</v>
          </cell>
          <cell r="Z203" t="str">
            <v>PO</v>
          </cell>
        </row>
        <row r="204">
          <cell r="V204" t="str">
            <v>7e380070-f762-11e1-a439-00145eb45e9a</v>
          </cell>
          <cell r="W204" t="str">
            <v>gbif</v>
          </cell>
          <cell r="X204">
            <v>82</v>
          </cell>
          <cell r="Y204" t="str">
            <v>Natural History Museum (London) Collection Specimens</v>
          </cell>
          <cell r="Z204" t="str">
            <v>PO</v>
          </cell>
        </row>
        <row r="205">
          <cell r="V205" t="str">
            <v>a307e4d7-1de2-4adc-95d5-a0a8d5f57236</v>
          </cell>
          <cell r="W205" t="str">
            <v>gbif</v>
          </cell>
          <cell r="X205">
            <v>3</v>
          </cell>
          <cell r="Y205" t="str">
            <v>Natural History Museum Rotterdam - Specimens</v>
          </cell>
          <cell r="Z205" t="str">
            <v>PO</v>
          </cell>
        </row>
        <row r="206">
          <cell r="V206" t="str">
            <v>d962a7dc-2183-4824-bb88-5e0ba14ec62d</v>
          </cell>
          <cell r="W206" t="str">
            <v>gbif</v>
          </cell>
          <cell r="X206">
            <v>389</v>
          </cell>
          <cell r="Y206" t="str">
            <v>Naturalis Biodiversity Center (NL) - Mollusca</v>
          </cell>
          <cell r="Z206" t="str">
            <v>PO</v>
          </cell>
        </row>
        <row r="207">
          <cell r="V207" t="str">
            <v>a4be4c6d-5ce7-47ba-982d-1deb05719133</v>
          </cell>
          <cell r="W207" t="str">
            <v>gbif</v>
          </cell>
          <cell r="X207">
            <v>252</v>
          </cell>
          <cell r="Y207" t="str">
            <v>Naturalis Biodiversity Center (NL) - Porifera</v>
          </cell>
          <cell r="Z207" t="str">
            <v>PO</v>
          </cell>
        </row>
        <row r="208">
          <cell r="V208" t="str">
            <v>84dbaec2-f762-11e1-a439-00145eb45e9a</v>
          </cell>
          <cell r="W208" t="str">
            <v>gbif</v>
          </cell>
          <cell r="Y208" t="str">
            <v>NHMD Ichthyology Collection</v>
          </cell>
          <cell r="Z208" t="str">
            <v>PO</v>
          </cell>
        </row>
        <row r="209">
          <cell r="V209" t="str">
            <v>58fc397b-eee4-4138-8a5f-50f9dfb00216</v>
          </cell>
          <cell r="W209" t="str">
            <v>gbif</v>
          </cell>
          <cell r="Y209" t="str">
            <v>NHMD Invertebrate Zoology Collection</v>
          </cell>
          <cell r="Z209" t="str">
            <v>PO</v>
          </cell>
        </row>
        <row r="210">
          <cell r="V210" t="str">
            <v>66276aee-900b-4259-bc7a-bcfbcb6d56b8</v>
          </cell>
          <cell r="W210" t="str">
            <v>gbif</v>
          </cell>
          <cell r="Y210" t="str">
            <v>NHMO DNA Bank Arthropod collection</v>
          </cell>
          <cell r="Z210" t="str">
            <v>PO</v>
          </cell>
        </row>
        <row r="211">
          <cell r="V211" t="str">
            <v>de2875e4-6f69-460a-b8c4-ead427afd53e</v>
          </cell>
          <cell r="W211" t="str">
            <v>gbif</v>
          </cell>
          <cell r="Y211" t="str">
            <v>NHMO DNA Bank Fish and Herptile collection</v>
          </cell>
          <cell r="Z211" t="str">
            <v>PO</v>
          </cell>
        </row>
        <row r="212">
          <cell r="V212" t="str">
            <v>2e71efb1-78c9-4475-9056-96beeaf9ca42</v>
          </cell>
          <cell r="W212" t="str">
            <v>gbif</v>
          </cell>
          <cell r="Y212" t="str">
            <v>NHMO DNA Bank Other invertebrate groups collection</v>
          </cell>
          <cell r="Z212" t="str">
            <v>PO</v>
          </cell>
        </row>
        <row r="213">
          <cell r="V213" t="str">
            <v>9fdf31e5-8a56-4b65-86ce-acd8170eab97</v>
          </cell>
          <cell r="W213" t="str">
            <v>gbif</v>
          </cell>
          <cell r="Y213" t="str">
            <v>NHMO Invertebrate collection</v>
          </cell>
          <cell r="Z213" t="str">
            <v>PO</v>
          </cell>
        </row>
        <row r="214">
          <cell r="V214" t="str">
            <v>4d0b1b2a-3209-49ce-bb93-7503e4868019</v>
          </cell>
          <cell r="W214" t="str">
            <v>gbif</v>
          </cell>
          <cell r="X214">
            <v>3</v>
          </cell>
          <cell r="Y214" t="str">
            <v>NIWA Invertebrate Collection</v>
          </cell>
          <cell r="Z214" t="str">
            <v>PO</v>
          </cell>
        </row>
        <row r="215">
          <cell r="V215" t="str">
            <v>821cc27a-e3bb-4bc5-ac34-89ada245069d</v>
          </cell>
          <cell r="W215" t="str">
            <v>gbif</v>
          </cell>
          <cell r="X215">
            <v>77</v>
          </cell>
          <cell r="Y215" t="str">
            <v>NMNH Extant Specimen Records (USNM, US)</v>
          </cell>
          <cell r="Z215" t="str">
            <v>PO</v>
          </cell>
        </row>
        <row r="216">
          <cell r="V216" t="str">
            <v>53f2cda4-a2fd-49f0-b3e5-0782c9770e7c</v>
          </cell>
          <cell r="W216" t="str">
            <v>gbif</v>
          </cell>
          <cell r="X216">
            <v>20</v>
          </cell>
          <cell r="Y216" t="str">
            <v>Norwegian specimens stored in Herb. Klepsland (pre 2022)</v>
          </cell>
          <cell r="Z216" t="str">
            <v>PO</v>
          </cell>
        </row>
        <row r="217">
          <cell r="V217" t="str">
            <v>968dfa3e-3614-4bab-a3b5-e9209bdd6078</v>
          </cell>
          <cell r="W217" t="str">
            <v>gbif</v>
          </cell>
          <cell r="Y217" t="str">
            <v>Ocean Genome Legacy Collection</v>
          </cell>
          <cell r="Z217" t="str">
            <v>PO</v>
          </cell>
        </row>
        <row r="218">
          <cell r="V218" t="str">
            <v>98333cb6-6c15-4add-aa0e-b322bf1500ba</v>
          </cell>
          <cell r="W218" t="str">
            <v>gbif</v>
          </cell>
          <cell r="X218">
            <v>39</v>
          </cell>
          <cell r="Y218" t="str">
            <v>Ophiuroidea collections of the Zoological Institute Russian Academy of Sciences</v>
          </cell>
          <cell r="Z218" t="str">
            <v>PO</v>
          </cell>
        </row>
        <row r="219">
          <cell r="V219" t="str">
            <v>https://marineinfo.org/id/dataset/5819</v>
          </cell>
          <cell r="W219" t="str">
            <v>emodnet</v>
          </cell>
          <cell r="X219">
            <v>21</v>
          </cell>
          <cell r="Y219" t="str">
            <v>Personal library collection of Martin Angel of published and unpublished Halocyprid (Ostracoda) occurrences</v>
          </cell>
          <cell r="Z219" t="str">
            <v>PO</v>
          </cell>
        </row>
        <row r="220">
          <cell r="V220" t="str">
            <v>988007b1-1179-42e0-863c-bb9f1bdfa6f7</v>
          </cell>
          <cell r="W220" t="str">
            <v>gbif</v>
          </cell>
          <cell r="X220">
            <v>93</v>
          </cell>
          <cell r="Y220" t="str">
            <v>Pisces (Luomus)</v>
          </cell>
          <cell r="Z220" t="str">
            <v>PO</v>
          </cell>
        </row>
        <row r="221">
          <cell r="V221" t="str">
            <v>97169dfa-325b-4c1e-af91-3ef023f8a498</v>
          </cell>
          <cell r="W221" t="str">
            <v>gbif</v>
          </cell>
          <cell r="Y221" t="str">
            <v>Pycnogonida collection of the Shirshov Institute of Oceanology, Laboratory of Ocean Benthic Fauna</v>
          </cell>
          <cell r="Z221" t="str">
            <v>PO</v>
          </cell>
        </row>
        <row r="222">
          <cell r="V222" t="str">
            <v>7c4621d3-7b86-4c99-a14e-ff8b3fce5c10</v>
          </cell>
          <cell r="W222" t="str">
            <v>gbif</v>
          </cell>
          <cell r="Y222" t="str">
            <v>RBINS Brachiopoda collection</v>
          </cell>
          <cell r="Z222" t="str">
            <v>PO</v>
          </cell>
        </row>
        <row r="223">
          <cell r="V223" t="str">
            <v>db2cd6fc-a7d5-43ad-b944-8a663d57ae73</v>
          </cell>
          <cell r="W223" t="str">
            <v>gbif</v>
          </cell>
          <cell r="Y223" t="str">
            <v>RBINS Crustacea collection</v>
          </cell>
          <cell r="Z223" t="str">
            <v>PO</v>
          </cell>
        </row>
        <row r="224">
          <cell r="V224" t="str">
            <v>8138eb72-f762-11e1-a439-00145eb45e9a</v>
          </cell>
          <cell r="W224" t="str">
            <v>gbif</v>
          </cell>
          <cell r="X224">
            <v>442</v>
          </cell>
          <cell r="Y224" t="str">
            <v>RBINS DaRWIN</v>
          </cell>
          <cell r="Z224" t="str">
            <v>PO</v>
          </cell>
        </row>
        <row r="225">
          <cell r="V225" t="str">
            <v>https://marineinfo.org/id/dataset/5991</v>
          </cell>
          <cell r="W225" t="str">
            <v>emodnet</v>
          </cell>
          <cell r="X225" t="e">
            <v>#N/A</v>
          </cell>
          <cell r="Y225" t="str">
            <v>RBINS-Scientific Heritage</v>
          </cell>
          <cell r="Z225" t="str">
            <v>PO</v>
          </cell>
        </row>
        <row r="226">
          <cell r="V226" t="str">
            <v>0912e81c-c5ac-4a53-b719-a9ae6535f895</v>
          </cell>
          <cell r="W226" t="str">
            <v>obis</v>
          </cell>
          <cell r="Y226" t="str">
            <v>Royal Belgian Institute of Natural Sciences Crustacea collection</v>
          </cell>
          <cell r="Z226" t="str">
            <v>PO</v>
          </cell>
        </row>
        <row r="227">
          <cell r="V227" t="str">
            <v>f68aab55-9261-49fa-8bf9-e6fe6fa7661b</v>
          </cell>
          <cell r="W227" t="str">
            <v>obis</v>
          </cell>
          <cell r="X227">
            <v>2</v>
          </cell>
          <cell r="Y227" t="str">
            <v>Royal Belgian Institute of Natural Sciences Mollusca collection</v>
          </cell>
          <cell r="Z227" t="str">
            <v>PO</v>
          </cell>
        </row>
        <row r="228">
          <cell r="V228" t="str">
            <v>2e8ab72b-5931-4e04-b8ff-e1fb61305d17</v>
          </cell>
          <cell r="W228" t="str">
            <v>gbif</v>
          </cell>
          <cell r="X228">
            <v>1</v>
          </cell>
          <cell r="Y228" t="str">
            <v>Royal Botanic Gardens, Kew - Fungarium Specimens</v>
          </cell>
          <cell r="Z228" t="str">
            <v>PO</v>
          </cell>
        </row>
        <row r="229">
          <cell r="V229" t="str">
            <v>a004778c-d113-479e-a77f-990041283a51</v>
          </cell>
          <cell r="W229" t="str">
            <v>gbif</v>
          </cell>
          <cell r="Y229" t="str">
            <v>Santa Barbara Museum of Natural History - Invertebrate Zoology</v>
          </cell>
          <cell r="Z229" t="str">
            <v>PO</v>
          </cell>
        </row>
        <row r="230">
          <cell r="V230" t="str">
            <v>https://marineinfo.org/id/dataset/961</v>
          </cell>
          <cell r="W230" t="str">
            <v>emodnet</v>
          </cell>
          <cell r="X230">
            <v>2</v>
          </cell>
          <cell r="Y230" t="str">
            <v>Senckenberg's collection management system</v>
          </cell>
          <cell r="Z230" t="str">
            <v>PO</v>
          </cell>
        </row>
        <row r="231">
          <cell r="V231" t="str">
            <v>1bec5de3-758c-4ed2-ab13-1597601ad07a</v>
          </cell>
          <cell r="W231" t="str">
            <v>gbif</v>
          </cell>
          <cell r="Y231" t="str">
            <v>Terrestrial and limnic invertebrates systematic collection, NTNU University Museum</v>
          </cell>
          <cell r="Z231" t="str">
            <v>PO</v>
          </cell>
        </row>
        <row r="232">
          <cell r="V232" t="str">
            <v>da6a07ed-9eee-460d-9448-910f542c1a7b</v>
          </cell>
          <cell r="W232" t="str">
            <v>gbif</v>
          </cell>
          <cell r="X232">
            <v>21</v>
          </cell>
          <cell r="Y232" t="str">
            <v>The crustaceans collection (IU) of the Muséum national d'Histoire naturelle (MNHN - Paris)</v>
          </cell>
          <cell r="Z232" t="str">
            <v>PO</v>
          </cell>
        </row>
        <row r="233">
          <cell r="V233" t="str">
            <v>b568aebb-b2c8-4dd2-8a59-ab74d50f8640</v>
          </cell>
          <cell r="W233" t="str">
            <v>gbif</v>
          </cell>
          <cell r="X233">
            <v>2</v>
          </cell>
          <cell r="Y233" t="str">
            <v>The echinoderm collection (IE) of the Muséum national d'Histoire naturelle (MNHN - Paris)</v>
          </cell>
          <cell r="Z233" t="str">
            <v>PO</v>
          </cell>
        </row>
        <row r="234">
          <cell r="V234" t="str">
            <v>f58922e2-93ed-4703-ba22-12a0674d1b54</v>
          </cell>
          <cell r="W234" t="str">
            <v>gbif</v>
          </cell>
          <cell r="X234">
            <v>3</v>
          </cell>
          <cell r="Y234" t="str">
            <v>The fishes collection (IC) of the Muséum national d'Histoire naturelle (MNHN - Paris)</v>
          </cell>
          <cell r="Z234" t="str">
            <v>PO</v>
          </cell>
        </row>
        <row r="235">
          <cell r="V235" t="str">
            <v>d150dd98-855c-4828-a2ff-148036b00c92</v>
          </cell>
          <cell r="W235" t="str">
            <v>gbif</v>
          </cell>
          <cell r="Y235" t="str">
            <v>The Ichthyology Collection at the Staatliches Museum fÃ¼r Naturkunde Stuttgart</v>
          </cell>
          <cell r="Z235" t="str">
            <v>PO</v>
          </cell>
        </row>
        <row r="236">
          <cell r="V236" t="str">
            <v>0214a6a7-898f-4ee8-b888-0be60ecde81f</v>
          </cell>
          <cell r="W236" t="str">
            <v>gbif</v>
          </cell>
          <cell r="X236">
            <v>1</v>
          </cell>
          <cell r="Y236" t="str">
            <v>The molluscs collection (IM) of the Muséum national d'Histoire naturelle (MNHN - Paris)</v>
          </cell>
          <cell r="Z236" t="str">
            <v>PO</v>
          </cell>
        </row>
        <row r="237">
          <cell r="V237" t="str">
            <v>2f7c33b3-ea7a-40ac-a3b7-bace96f978f7</v>
          </cell>
          <cell r="W237" t="str">
            <v>gbif</v>
          </cell>
          <cell r="X237">
            <v>25</v>
          </cell>
          <cell r="Y237" t="str">
            <v>Type locality distributions from the World Register of Marine Species</v>
          </cell>
          <cell r="Z237" t="str">
            <v>PO</v>
          </cell>
        </row>
        <row r="238">
          <cell r="V238" t="str">
            <v>https://marineinfo.org/id/dataset/5184</v>
          </cell>
          <cell r="W238" t="str">
            <v>emodnet</v>
          </cell>
          <cell r="X238">
            <v>6</v>
          </cell>
          <cell r="Y238" t="str">
            <v>Type locality distributions from the World Register of Marine Species</v>
          </cell>
          <cell r="Z238" t="str">
            <v>PO</v>
          </cell>
        </row>
        <row r="239">
          <cell r="V239" t="str">
            <v>a5a30dd3-a1ac-48cf-a3ee-c087d11987c3</v>
          </cell>
          <cell r="W239" t="str">
            <v>gbif</v>
          </cell>
          <cell r="X239">
            <v>3</v>
          </cell>
          <cell r="Y239" t="str">
            <v>ZMH Annelida collection</v>
          </cell>
          <cell r="Z239" t="str">
            <v>PO</v>
          </cell>
        </row>
        <row r="240">
          <cell r="V240" t="str">
            <v>de55d6c3-248a-4f08-ba75-66dcff510f13</v>
          </cell>
          <cell r="W240" t="str">
            <v>gbif</v>
          </cell>
          <cell r="X240">
            <v>150</v>
          </cell>
          <cell r="Y240" t="str">
            <v>ZMH Ichthyology collection</v>
          </cell>
          <cell r="Z240" t="str">
            <v>PO</v>
          </cell>
        </row>
        <row r="241">
          <cell r="V241" t="str">
            <v>f49dd893-1e91-4ce6-9aa7-e1047ffee557</v>
          </cell>
          <cell r="W241" t="str">
            <v>gbif</v>
          </cell>
          <cell r="X241">
            <v>215</v>
          </cell>
          <cell r="Y241" t="str">
            <v>ZMMU MSU, White Sea Branch</v>
          </cell>
          <cell r="Z241" t="str">
            <v>PO</v>
          </cell>
        </row>
        <row r="242">
          <cell r="V242" t="str">
            <v>885eb576-f762-11e1-a439-00145eb45e9a</v>
          </cell>
          <cell r="W242" t="str">
            <v>gbif</v>
          </cell>
          <cell r="Y242" t="str">
            <v>(Fig. 5) Sea-surface temperature reconstructions of sediment core MD99-2304</v>
          </cell>
          <cell r="Z242" t="str">
            <v>PO</v>
          </cell>
        </row>
        <row r="243">
          <cell r="V243" t="str">
            <v>79fd32aa-f762-11e1-a439-00145eb45e9a</v>
          </cell>
          <cell r="W243" t="str">
            <v>gbif</v>
          </cell>
          <cell r="X243">
            <v>57</v>
          </cell>
          <cell r="Y243" t="str">
            <v>(Table 1) Abundance of dead benthic foraminifera in surface sediments of the Arctic Ocean</v>
          </cell>
          <cell r="Z243" t="str">
            <v>PO</v>
          </cell>
        </row>
        <row r="244">
          <cell r="V244" t="str">
            <v>94e705f0-f762-11e1-a439-00145eb45e9a</v>
          </cell>
          <cell r="W244" t="str">
            <v>gbif</v>
          </cell>
          <cell r="Y244" t="str">
            <v>(Table 1) Distribution of benthic foraminifera on sediment core PS2837</v>
          </cell>
          <cell r="Z244" t="str">
            <v>PO</v>
          </cell>
        </row>
        <row r="245">
          <cell r="V245" t="str">
            <v>55c65f67-b547-4752-a0cf-a4ef339a020e</v>
          </cell>
          <cell r="W245" t="str">
            <v>gbif</v>
          </cell>
          <cell r="Y245" t="str">
            <v>(Table 1) Foraminifera abundance of ODP Hole 162-985A sediments</v>
          </cell>
          <cell r="Z245" t="str">
            <v>PO</v>
          </cell>
        </row>
        <row r="246">
          <cell r="V246" t="str">
            <v>90aae916-f762-11e1-a439-00145eb45e9a</v>
          </cell>
          <cell r="W246" t="str">
            <v>gbif</v>
          </cell>
          <cell r="X246">
            <v>9</v>
          </cell>
          <cell r="Y246" t="str">
            <v>(Table 11) Planktonic foraminifer abundance of ODP Hole 162-987A</v>
          </cell>
          <cell r="Z246" t="str">
            <v>PO</v>
          </cell>
        </row>
        <row r="247">
          <cell r="V247" t="str">
            <v>94e5ad86-f762-11e1-a439-00145eb45e9a</v>
          </cell>
          <cell r="W247" t="str">
            <v>gbif</v>
          </cell>
          <cell r="X247">
            <v>305</v>
          </cell>
          <cell r="Y247" t="str">
            <v>(Table 2) Distribution of benthic foraminifera on sediment core PS2138-1</v>
          </cell>
          <cell r="Z247" t="str">
            <v>PO</v>
          </cell>
        </row>
        <row r="248">
          <cell r="V248" t="str">
            <v>9457cf3e-f762-11e1-a439-00145eb45e9a</v>
          </cell>
          <cell r="W248" t="str">
            <v>gbif</v>
          </cell>
          <cell r="X248">
            <v>108</v>
          </cell>
          <cell r="Y248" t="str">
            <v>(Table 2) Distribution of benthic foraminifers in the &gt; 125 Âµm fraction in surface sediments from the central Arctic Ocean</v>
          </cell>
          <cell r="Z248" t="str">
            <v>PO</v>
          </cell>
        </row>
        <row r="249">
          <cell r="V249" t="str">
            <v>79fab098-f762-11e1-a439-00145eb45e9a</v>
          </cell>
          <cell r="W249" t="str">
            <v>gbif</v>
          </cell>
          <cell r="X249">
            <v>30</v>
          </cell>
          <cell r="Y249" t="str">
            <v>(Table 2) Occurrence of ostracoda in surface sediments of the Arctic Ocean</v>
          </cell>
          <cell r="Z249" t="str">
            <v>PO</v>
          </cell>
        </row>
        <row r="250">
          <cell r="V250" t="str">
            <v>94590516-f762-11e1-a439-00145eb45e9a</v>
          </cell>
          <cell r="W250" t="str">
            <v>gbif</v>
          </cell>
          <cell r="X250">
            <v>81</v>
          </cell>
          <cell r="Y250" t="str">
            <v>(Table 3) Distribution of benthic foraminifers in the &gt; 63 Âµm fraction in surface sediments from the central Arctic Ocean</v>
          </cell>
          <cell r="Z250" t="str">
            <v>PO</v>
          </cell>
        </row>
        <row r="251">
          <cell r="V251" t="str">
            <v>950196f4-f762-11e1-a439-00145eb45e9a</v>
          </cell>
          <cell r="W251" t="str">
            <v>gbif</v>
          </cell>
          <cell r="Y251" t="str">
            <v>(Table 4) Carbon flux, paleoproductivity, relative abundance of foraminifera on sediment core PS2837-5</v>
          </cell>
          <cell r="Z251" t="str">
            <v>PO</v>
          </cell>
        </row>
        <row r="252">
          <cell r="V252" t="str">
            <v>7937cce0-f762-11e1-a439-00145eb45e9a</v>
          </cell>
          <cell r="W252" t="str">
            <v>gbif</v>
          </cell>
          <cell r="X252">
            <v>31</v>
          </cell>
          <cell r="Y252" t="str">
            <v>(Table 4) Ostracoda abundances in sediment core PS2212-3 (Yermak Plateau)</v>
          </cell>
          <cell r="Z252" t="str">
            <v>PO</v>
          </cell>
        </row>
        <row r="253">
          <cell r="V253" t="str">
            <v>9502ec16-f762-11e1-a439-00145eb45e9a</v>
          </cell>
          <cell r="W253" t="str">
            <v>gbif</v>
          </cell>
          <cell r="X253">
            <v>36</v>
          </cell>
          <cell r="Y253" t="str">
            <v>(Table 5) Carbon flux, paleoproductivity, relative abundance of foraminifera on sediment core PS2138-1</v>
          </cell>
          <cell r="Z253" t="str">
            <v>PO</v>
          </cell>
        </row>
        <row r="254">
          <cell r="V254" t="str">
            <v>95004632-f762-11e1-a439-00145eb45e9a</v>
          </cell>
          <cell r="W254" t="str">
            <v>gbif</v>
          </cell>
          <cell r="X254">
            <v>92</v>
          </cell>
          <cell r="Y254" t="str">
            <v>(Table 6) Relative abundance of dead foraminifers in surface sediment</v>
          </cell>
          <cell r="Z254" t="str">
            <v>PO</v>
          </cell>
        </row>
        <row r="255">
          <cell r="V255" t="str">
            <v>88b935be-f762-11e1-a439-00145eb45e9a</v>
          </cell>
          <cell r="W255" t="str">
            <v>gbif</v>
          </cell>
          <cell r="X255">
            <v>84</v>
          </cell>
          <cell r="Y255" t="str">
            <v>(Table A.04) Foraminiferal census data of sediment core PS1243-1 during marine isotopic stage 7 (80-150 Âµm)</v>
          </cell>
          <cell r="Z255" t="str">
            <v>PO</v>
          </cell>
        </row>
        <row r="256">
          <cell r="V256" t="str">
            <v>88b52e4c-f762-11e1-a439-00145eb45e9a</v>
          </cell>
          <cell r="W256" t="str">
            <v>gbif</v>
          </cell>
          <cell r="X256">
            <v>32</v>
          </cell>
          <cell r="Y256" t="str">
            <v>(Table A.09) Foraminiferal census data of sediment core PS1243-1 during marine isotopic stage 1-3 (125-250 Âµm)</v>
          </cell>
          <cell r="Z256" t="str">
            <v>PO</v>
          </cell>
        </row>
        <row r="257">
          <cell r="V257" t="str">
            <v>65522fc2-f762-11e1-a439-00145eb45e9a</v>
          </cell>
          <cell r="W257" t="str">
            <v>gbif</v>
          </cell>
          <cell r="X257">
            <v>211</v>
          </cell>
          <cell r="Y257" t="str">
            <v>Benthic foraminifera counts of sediment core GIK23359-4</v>
          </cell>
          <cell r="Z257" t="str">
            <v>PO</v>
          </cell>
        </row>
        <row r="258">
          <cell r="V258" t="str">
            <v>65548862-f762-11e1-a439-00145eb45e9a</v>
          </cell>
          <cell r="W258" t="str">
            <v>gbif</v>
          </cell>
          <cell r="X258">
            <v>207</v>
          </cell>
          <cell r="Y258" t="str">
            <v>Benthic foraminifera counts of sediment core PS1244-2 (GIK23244-2)</v>
          </cell>
          <cell r="Z258" t="str">
            <v>PO</v>
          </cell>
        </row>
        <row r="259">
          <cell r="V259" t="str">
            <v>6555b674-f762-11e1-a439-00145eb45e9a</v>
          </cell>
          <cell r="W259" t="str">
            <v>gbif</v>
          </cell>
          <cell r="X259">
            <v>235</v>
          </cell>
          <cell r="Y259" t="str">
            <v>Benthic foraminifera counts of sediment core PS1246-4 (GIK23246-4)</v>
          </cell>
          <cell r="Z259" t="str">
            <v>PO</v>
          </cell>
        </row>
        <row r="260">
          <cell r="V260" t="str">
            <v>5d6c10bd-ea31-4363-8b79-58c96d859f5b</v>
          </cell>
          <cell r="W260" t="str">
            <v>gbif</v>
          </cell>
          <cell r="X260">
            <v>1</v>
          </cell>
          <cell r="Y260" t="str">
            <v>CAS Ichthyology (ICH)</v>
          </cell>
          <cell r="Z260" t="str">
            <v>PO</v>
          </cell>
        </row>
        <row r="261">
          <cell r="V261" t="str">
            <v>87220b2c-f762-11e1-a439-00145eb45e9a</v>
          </cell>
          <cell r="W261" t="str">
            <v>gbif</v>
          </cell>
          <cell r="X261">
            <v>35</v>
          </cell>
          <cell r="Y261" t="str">
            <v>Composition of planktonic foraminifera species in 1123 surface sediment samples compared with sea surface temperatures from the Levitus Atlas</v>
          </cell>
          <cell r="Z261" t="str">
            <v>PO</v>
          </cell>
        </row>
        <row r="262">
          <cell r="V262" t="str">
            <v>945e3a86-f762-11e1-a439-00145eb45e9a</v>
          </cell>
          <cell r="W262" t="str">
            <v>gbif</v>
          </cell>
          <cell r="X262">
            <v>52</v>
          </cell>
          <cell r="Y262" t="str">
            <v>Content of different diatom species in sediment core GIK23259-2</v>
          </cell>
          <cell r="Z262" t="str">
            <v>PO</v>
          </cell>
        </row>
        <row r="263">
          <cell r="V263" t="str">
            <v>6572e9c4-f762-11e1-a439-00145eb45e9a</v>
          </cell>
          <cell r="W263" t="str">
            <v>gbif</v>
          </cell>
          <cell r="X263">
            <v>305</v>
          </cell>
          <cell r="Y263" t="str">
            <v>Counts of the dead benthic foraminifera assemblage in surface sediments of the North Atlantic</v>
          </cell>
          <cell r="Z263" t="str">
            <v>PO</v>
          </cell>
        </row>
        <row r="264">
          <cell r="V264" t="str">
            <v>6571cb34-f762-11e1-a439-00145eb45e9a</v>
          </cell>
          <cell r="W264" t="str">
            <v>gbif</v>
          </cell>
          <cell r="X264">
            <v>282</v>
          </cell>
          <cell r="Y264" t="str">
            <v>Counts of the living benthic foraminifera assemblage in surface sediments of the North Atlantic</v>
          </cell>
          <cell r="Z264" t="str">
            <v>PO</v>
          </cell>
        </row>
        <row r="265">
          <cell r="V265" t="str">
            <v>6a232218-f762-11e1-a439-00145eb45e9a</v>
          </cell>
          <cell r="W265" t="str">
            <v>gbif</v>
          </cell>
          <cell r="X265">
            <v>264</v>
          </cell>
          <cell r="Y265" t="str">
            <v>Diatom assamblage in samples from sediment trap NB6</v>
          </cell>
          <cell r="Z265" t="str">
            <v>PO</v>
          </cell>
        </row>
        <row r="266">
          <cell r="V266" t="str">
            <v>6a248388-f762-11e1-a439-00145eb45e9a</v>
          </cell>
          <cell r="W266" t="str">
            <v>gbif</v>
          </cell>
          <cell r="X266">
            <v>156</v>
          </cell>
          <cell r="Y266" t="str">
            <v>Diatom assamblage in samples from sediment trap OG3</v>
          </cell>
          <cell r="Z266" t="str">
            <v>PO</v>
          </cell>
        </row>
        <row r="267">
          <cell r="V267" t="str">
            <v>6a25dd78-f762-11e1-a439-00145eb45e9a</v>
          </cell>
          <cell r="W267" t="str">
            <v>gbif</v>
          </cell>
          <cell r="X267">
            <v>220</v>
          </cell>
          <cell r="Y267" t="str">
            <v>Diatom assamblage in samples from sediment trap OG4</v>
          </cell>
          <cell r="Z267" t="str">
            <v>PO</v>
          </cell>
        </row>
        <row r="268">
          <cell r="V268" t="str">
            <v>6a2750f4-f762-11e1-a439-00145eb45e9a</v>
          </cell>
          <cell r="W268" t="str">
            <v>gbif</v>
          </cell>
          <cell r="X268">
            <v>281</v>
          </cell>
          <cell r="Y268" t="str">
            <v>Diatom assamblage in samples from sediment trap OG5</v>
          </cell>
          <cell r="Z268" t="str">
            <v>PO</v>
          </cell>
        </row>
        <row r="269">
          <cell r="V269" t="str">
            <v>91b20394-f762-11e1-a439-00145eb45e9a</v>
          </cell>
          <cell r="W269" t="str">
            <v>gbif</v>
          </cell>
          <cell r="X269">
            <v>161</v>
          </cell>
          <cell r="Y269" t="str">
            <v>Distribution of benthic foraminifers (dead) in surface sediments (Table 5)</v>
          </cell>
          <cell r="Z269" t="str">
            <v>PO</v>
          </cell>
        </row>
        <row r="270">
          <cell r="V270" t="str">
            <v>9513015a-f762-11e1-a439-00145eb45e9a</v>
          </cell>
          <cell r="W270" t="str">
            <v>gbif</v>
          </cell>
          <cell r="X270">
            <v>826</v>
          </cell>
          <cell r="Y270" t="str">
            <v>Distribution of dead benthic foraminifera in surface sediments of the Norwegian Sea (Table 3)</v>
          </cell>
          <cell r="Z270" t="str">
            <v>PO</v>
          </cell>
        </row>
        <row r="271">
          <cell r="V271" t="str">
            <v>9511ab0c-f762-11e1-a439-00145eb45e9a</v>
          </cell>
          <cell r="W271" t="str">
            <v>gbif</v>
          </cell>
          <cell r="X271">
            <v>594</v>
          </cell>
          <cell r="Y271" t="str">
            <v>Distribution of living benthic foraminifera in surface sediments of the Norwegian Sea (Table 2)</v>
          </cell>
          <cell r="Z271" t="str">
            <v>PO</v>
          </cell>
        </row>
        <row r="272">
          <cell r="V272" t="str">
            <v>7f29f74a-f762-11e1-a439-00145eb45e9a</v>
          </cell>
          <cell r="W272" t="str">
            <v>gbif</v>
          </cell>
          <cell r="Y272" t="str">
            <v>Distribution of planktic foraminifera and calculated sea surface temperature of sediment core MSM05/5_712-1</v>
          </cell>
          <cell r="Z272" t="str">
            <v>PO</v>
          </cell>
        </row>
        <row r="273">
          <cell r="V273" t="str">
            <v>3ed891d2-ae3c-45a6-a27f-e9f0a9f4b8c1</v>
          </cell>
          <cell r="W273" t="str">
            <v>gbif</v>
          </cell>
          <cell r="Y273" t="str">
            <v>Distribution of planktic foraminifera and stable istopes of sediment core MSM05/5_712-2</v>
          </cell>
          <cell r="Z273" t="str">
            <v>PO</v>
          </cell>
        </row>
        <row r="274">
          <cell r="V274" t="str">
            <v>86c600ca-f762-11e1-a439-00145eb45e9a</v>
          </cell>
          <cell r="W274" t="str">
            <v>gbif</v>
          </cell>
          <cell r="X274">
            <v>132</v>
          </cell>
          <cell r="Y274" t="str">
            <v>Distribution of planktic foraminifera in surface sediments of the Atlantic Ocean</v>
          </cell>
          <cell r="Z274" t="str">
            <v>PO</v>
          </cell>
        </row>
        <row r="275">
          <cell r="V275" t="str">
            <v>873d986a-f762-11e1-a439-00145eb45e9a</v>
          </cell>
          <cell r="W275" t="str">
            <v>gbif</v>
          </cell>
          <cell r="X275">
            <v>175</v>
          </cell>
          <cell r="Y275" t="str">
            <v>Distribution of planktic foraminifera in surface sediments of the Atlantic Ocean (ATL947)</v>
          </cell>
          <cell r="Z275" t="str">
            <v>PO</v>
          </cell>
        </row>
        <row r="276">
          <cell r="V276" t="str">
            <v>8720c2ee-f762-11e1-a439-00145eb45e9a</v>
          </cell>
          <cell r="W276" t="str">
            <v>gbif</v>
          </cell>
          <cell r="X276">
            <v>40</v>
          </cell>
          <cell r="Y276" t="str">
            <v>Distribution of planktic foraminifera of sediment core GIK23424-3</v>
          </cell>
          <cell r="Z276" t="str">
            <v>PO</v>
          </cell>
        </row>
        <row r="277">
          <cell r="V277" t="str">
            <v>661df59e-f762-11e1-a439-00145eb45e9a</v>
          </cell>
          <cell r="W277" t="str">
            <v>gbif</v>
          </cell>
          <cell r="X277">
            <v>172</v>
          </cell>
          <cell r="Y277" t="str">
            <v>Distribution of planktic foraminifera of sediment trap NB6</v>
          </cell>
          <cell r="Z277" t="str">
            <v>PO</v>
          </cell>
        </row>
        <row r="278">
          <cell r="V278" t="str">
            <v>661f156e-f762-11e1-a439-00145eb45e9a</v>
          </cell>
          <cell r="W278" t="str">
            <v>gbif</v>
          </cell>
          <cell r="X278">
            <v>249</v>
          </cell>
          <cell r="Y278" t="str">
            <v>Distribution of planktic foraminifera of sediment trap NB7</v>
          </cell>
          <cell r="Z278" t="str">
            <v>PO</v>
          </cell>
        </row>
        <row r="279">
          <cell r="V279" t="str">
            <v>662047cc-f762-11e1-a439-00145eb45e9a</v>
          </cell>
          <cell r="W279" t="str">
            <v>gbif</v>
          </cell>
          <cell r="X279">
            <v>68</v>
          </cell>
          <cell r="Y279" t="str">
            <v>Distribution of planktic foraminifera of sediment trap OG5</v>
          </cell>
          <cell r="Z279" t="str">
            <v>PO</v>
          </cell>
        </row>
        <row r="280">
          <cell r="V280" t="str">
            <v>87c488ac-f762-11e1-a439-00145eb45e9a</v>
          </cell>
          <cell r="W280" t="str">
            <v>gbif</v>
          </cell>
          <cell r="X280">
            <v>43</v>
          </cell>
          <cell r="Y280" t="str">
            <v>Distribution of planktonic foraminifera in water profiles from the North Atlantic Ocean</v>
          </cell>
          <cell r="Z280" t="str">
            <v>PO</v>
          </cell>
        </row>
        <row r="281">
          <cell r="V281" t="str">
            <v>7bfe8428-f762-11e1-a439-00145eb45e9a</v>
          </cell>
          <cell r="W281" t="str">
            <v>gbif</v>
          </cell>
          <cell r="X281">
            <v>36</v>
          </cell>
          <cell r="Y281" t="str">
            <v>Distribution of planktonic foraminifers in ODP Hole 104-642A (Table 2)</v>
          </cell>
          <cell r="Z281" t="str">
            <v>PO</v>
          </cell>
        </row>
        <row r="282">
          <cell r="V282" t="str">
            <v>2372eba1-a784-48a3-980e-ae7798f12c7d</v>
          </cell>
          <cell r="W282" t="str">
            <v>gbif</v>
          </cell>
          <cell r="X282">
            <v>40</v>
          </cell>
          <cell r="Y282" t="str">
            <v>Foraminiferal assemblages in the Hardangerfjord, western Norway</v>
          </cell>
          <cell r="Z282" t="str">
            <v>PO</v>
          </cell>
        </row>
        <row r="283">
          <cell r="V283" t="str">
            <v>https://marineinfo.org/id/dataset/2739</v>
          </cell>
          <cell r="W283" t="str">
            <v>emodnet</v>
          </cell>
          <cell r="X283" t="e">
            <v>#N/A</v>
          </cell>
          <cell r="Y283" t="str">
            <v>PANGAEA - Data from Joint Global Ocean Flux Study (JGOF)</v>
          </cell>
          <cell r="Z283" t="str">
            <v>PAx</v>
          </cell>
        </row>
        <row r="284">
          <cell r="V284" t="str">
            <v>86c75830-f762-11e1-a439-00145eb45e9a</v>
          </cell>
          <cell r="W284" t="str">
            <v>gbif</v>
          </cell>
          <cell r="X284">
            <v>42</v>
          </cell>
          <cell r="Y284" t="str">
            <v>Planktic foraminifera counts in surface sediment samples</v>
          </cell>
          <cell r="Z284" t="str">
            <v>PO</v>
          </cell>
        </row>
        <row r="285">
          <cell r="V285" t="str">
            <v>68c7222a-f762-11e1-a439-00145eb45e9a</v>
          </cell>
          <cell r="W285" t="str">
            <v>gbif</v>
          </cell>
          <cell r="X285">
            <v>2</v>
          </cell>
          <cell r="Y285" t="str">
            <v>Planktic foraminifera counts of multinet PS31/002</v>
          </cell>
          <cell r="Z285" t="str">
            <v>PO</v>
          </cell>
        </row>
        <row r="286">
          <cell r="V286" t="str">
            <v>79ae336c-f762-11e1-a439-00145eb45e9a</v>
          </cell>
          <cell r="W286" t="str">
            <v>gbif</v>
          </cell>
          <cell r="X286">
            <v>38</v>
          </cell>
          <cell r="Y286" t="str">
            <v>Planktic foraminifera counts of sediment core V27-86</v>
          </cell>
          <cell r="Z286" t="str">
            <v>PO</v>
          </cell>
        </row>
        <row r="287">
          <cell r="V287" t="str">
            <v>Plankton community in Multinet (300Âµm), Tara Oceans cruise</v>
          </cell>
          <cell r="W287" t="e">
            <v>#N/A</v>
          </cell>
          <cell r="Y287" t="str">
            <v>Plankton community in Multinet (300Âµm), Tara Oceans cruise</v>
          </cell>
          <cell r="Z287" t="str">
            <v>PO</v>
          </cell>
        </row>
        <row r="288">
          <cell r="V288" t="str">
            <v>67caf28e-f762-11e1-a439-00145eb45e9a</v>
          </cell>
          <cell r="W288" t="str">
            <v>gbif</v>
          </cell>
          <cell r="X288">
            <v>43</v>
          </cell>
          <cell r="Y288" t="str">
            <v>Plasm bearing foraminifera counts of multinet M21/5_MSN734</v>
          </cell>
          <cell r="Z288" t="str">
            <v>PO</v>
          </cell>
        </row>
        <row r="289">
          <cell r="V289" t="str">
            <v>67cff0fe-f762-11e1-a439-00145eb45e9a</v>
          </cell>
          <cell r="W289" t="str">
            <v>gbif</v>
          </cell>
          <cell r="X289">
            <v>5</v>
          </cell>
          <cell r="Y289" t="str">
            <v>Plasm bearing foraminifera counts of multinet M21/5_MSN740</v>
          </cell>
          <cell r="Z289" t="str">
            <v>PO</v>
          </cell>
        </row>
        <row r="290">
          <cell r="V290" t="str">
            <v>67d13cb6-f762-11e1-a439-00145eb45e9a</v>
          </cell>
          <cell r="W290" t="str">
            <v>gbif</v>
          </cell>
          <cell r="X290">
            <v>47</v>
          </cell>
          <cell r="Y290" t="str">
            <v>Plasm bearing foraminifera counts of multinet M21/5_MSN741</v>
          </cell>
          <cell r="Z290" t="str">
            <v>PO</v>
          </cell>
        </row>
        <row r="291">
          <cell r="V291" t="str">
            <v>67d3d4d0-f762-11e1-a439-00145eb45e9a</v>
          </cell>
          <cell r="W291" t="str">
            <v>gbif</v>
          </cell>
          <cell r="X291">
            <v>5</v>
          </cell>
          <cell r="Y291" t="str">
            <v>Plasm bearing foraminifera counts of multinet M21/5_MSN743</v>
          </cell>
          <cell r="Z291" t="str">
            <v>PO</v>
          </cell>
        </row>
        <row r="292">
          <cell r="V292" t="str">
            <v>8287097d-cec6-4103-b23e-fb5374b1ee06</v>
          </cell>
          <cell r="W292" t="str">
            <v>gbif</v>
          </cell>
          <cell r="X292">
            <v>240</v>
          </cell>
          <cell r="Y292" t="str">
            <v>Radiolaria specimens from Korsfjorden Nov 1969 - May 1971</v>
          </cell>
          <cell r="Z292" t="str">
            <v>PO</v>
          </cell>
        </row>
        <row r="293">
          <cell r="V293" t="str">
            <v>87fc7ff0-f762-11e1-a439-00145eb45e9a</v>
          </cell>
          <cell r="W293" t="str">
            <v>gbif</v>
          </cell>
          <cell r="X293">
            <v>30</v>
          </cell>
          <cell r="Y293" t="str">
            <v>Relative abundance of planktic foraminifera in the 120 kyr time slice reconstruction of sediment core V27-86</v>
          </cell>
          <cell r="Z293" t="str">
            <v>PO</v>
          </cell>
        </row>
        <row r="294">
          <cell r="V294" t="str">
            <v>64a8e85e-f762-11e1-a439-00145eb45e9a</v>
          </cell>
          <cell r="W294" t="str">
            <v>gbif</v>
          </cell>
          <cell r="Y294" t="str">
            <v>Sedimentology and stratigraphy of core OD96_41:4:1</v>
          </cell>
          <cell r="Z294" t="str">
            <v>PO</v>
          </cell>
        </row>
        <row r="295">
          <cell r="V295" t="str">
            <v>d38feefc-41b2-4ff9-b934-b96883e8fa28</v>
          </cell>
          <cell r="W295" t="str">
            <v>gbif</v>
          </cell>
          <cell r="X295">
            <v>333</v>
          </cell>
          <cell r="Y295" t="str">
            <v>Taxonomy and distribution of recent species of the subfamily Nodosariinae (Foraminifera) in Icelandic waters</v>
          </cell>
          <cell r="Z295" t="str">
            <v>PO</v>
          </cell>
        </row>
        <row r="296">
          <cell r="V296" t="str">
            <v>68efc55e-f762-11e1-a439-00145eb45e9a</v>
          </cell>
          <cell r="W296" t="str">
            <v>gbif</v>
          </cell>
          <cell r="X296">
            <v>59</v>
          </cell>
          <cell r="Y296" t="str">
            <v>The Brown University Foraminiferal Data Base (BFD)</v>
          </cell>
          <cell r="Z296" t="str">
            <v>PO</v>
          </cell>
        </row>
        <row r="297">
          <cell r="V297" t="str">
            <v>676cf1fc-f762-11e1-a439-00145eb45e9a</v>
          </cell>
          <cell r="W297" t="str">
            <v>gbif</v>
          </cell>
          <cell r="X297">
            <v>7</v>
          </cell>
          <cell r="Y297" t="str">
            <v>Total foraminifera counts of multinet M21/4_MSN698</v>
          </cell>
          <cell r="Z297" t="str">
            <v>PO</v>
          </cell>
        </row>
        <row r="298">
          <cell r="V298" t="str">
            <v>676f6b30-f762-11e1-a439-00145eb45e9a</v>
          </cell>
          <cell r="W298" t="str">
            <v>gbif</v>
          </cell>
          <cell r="X298">
            <v>8</v>
          </cell>
          <cell r="Y298" t="str">
            <v>Total foraminifera counts of multinet M21/4_MSN700</v>
          </cell>
          <cell r="Z298" t="str">
            <v>PO</v>
          </cell>
        </row>
        <row r="299">
          <cell r="V299" t="str">
            <v>6771c43e-f762-11e1-a439-00145eb45e9a</v>
          </cell>
          <cell r="W299" t="str">
            <v>gbif</v>
          </cell>
          <cell r="X299">
            <v>6</v>
          </cell>
          <cell r="Y299" t="str">
            <v>Total foraminifera counts of multinet M21/4_MSN702</v>
          </cell>
          <cell r="Z299" t="str">
            <v>PO</v>
          </cell>
        </row>
        <row r="300">
          <cell r="V300" t="str">
            <v>6775b85a-f762-11e1-a439-00145eb45e9a</v>
          </cell>
          <cell r="W300" t="str">
            <v>gbif</v>
          </cell>
          <cell r="X300">
            <v>6</v>
          </cell>
          <cell r="Y300" t="str">
            <v>Total foraminifera counts of multinet M21/4_MSN705</v>
          </cell>
          <cell r="Z300" t="str">
            <v>PO</v>
          </cell>
        </row>
        <row r="301">
          <cell r="V301" t="str">
            <v>67784b06-f762-11e1-a439-00145eb45e9a</v>
          </cell>
          <cell r="W301" t="str">
            <v>gbif</v>
          </cell>
          <cell r="X301">
            <v>7</v>
          </cell>
          <cell r="Y301" t="str">
            <v>Total foraminifera counts of multinet M21/4_MSN707</v>
          </cell>
          <cell r="Z301" t="str">
            <v>PO</v>
          </cell>
        </row>
        <row r="302">
          <cell r="V302" t="str">
            <v>67799696-f762-11e1-a439-00145eb45e9a</v>
          </cell>
          <cell r="W302" t="str">
            <v>gbif</v>
          </cell>
          <cell r="X302">
            <v>39</v>
          </cell>
          <cell r="Y302" t="str">
            <v>Total foraminifera counts of multinet M21/4_MSN710</v>
          </cell>
          <cell r="Z302" t="str">
            <v>PO</v>
          </cell>
        </row>
        <row r="303">
          <cell r="V303" t="str">
            <v>677af55e-f762-11e1-a439-00145eb45e9a</v>
          </cell>
          <cell r="W303" t="str">
            <v>gbif</v>
          </cell>
          <cell r="X303">
            <v>6</v>
          </cell>
          <cell r="Y303" t="str">
            <v>Total foraminifera counts of multinet M21/4_MSN711</v>
          </cell>
          <cell r="Z303" t="str">
            <v>PO</v>
          </cell>
        </row>
        <row r="304">
          <cell r="V304" t="str">
            <v>677eb202-f762-11e1-a439-00145eb45e9a</v>
          </cell>
          <cell r="W304" t="str">
            <v>gbif</v>
          </cell>
          <cell r="X304">
            <v>3</v>
          </cell>
          <cell r="Y304" t="str">
            <v>Total foraminifera counts of multinet M21/4_MSN714</v>
          </cell>
          <cell r="Z304" t="str">
            <v>PO</v>
          </cell>
        </row>
        <row r="305">
          <cell r="V305" t="str">
            <v>677ff70c-f762-11e1-a439-00145eb45e9a</v>
          </cell>
          <cell r="W305" t="str">
            <v>gbif</v>
          </cell>
          <cell r="X305">
            <v>34</v>
          </cell>
          <cell r="Y305" t="str">
            <v>Total foraminifera counts of multinet M21/4_MSN715</v>
          </cell>
          <cell r="Z305" t="str">
            <v>PO</v>
          </cell>
        </row>
        <row r="306">
          <cell r="V306" t="str">
            <v>67813d06-f762-11e1-a439-00145eb45e9a</v>
          </cell>
          <cell r="W306" t="str">
            <v>gbif</v>
          </cell>
          <cell r="X306">
            <v>3</v>
          </cell>
          <cell r="Y306" t="str">
            <v>Total foraminifera counts of multinet M21/4_MSN716</v>
          </cell>
          <cell r="Z306" t="str">
            <v>PO</v>
          </cell>
        </row>
        <row r="307">
          <cell r="V307" t="str">
            <v>67851cd2-f762-11e1-a439-00145eb45e9a</v>
          </cell>
          <cell r="W307" t="str">
            <v>gbif</v>
          </cell>
          <cell r="X307">
            <v>5</v>
          </cell>
          <cell r="Y307" t="str">
            <v>Total foraminifera counts of multinet M21/4_MSN719</v>
          </cell>
          <cell r="Z307" t="str">
            <v>PO</v>
          </cell>
        </row>
        <row r="308">
          <cell r="V308" t="str">
            <v>678791e2-f762-11e1-a439-00145eb45e9a</v>
          </cell>
          <cell r="W308" t="str">
            <v>gbif</v>
          </cell>
          <cell r="X308">
            <v>5</v>
          </cell>
          <cell r="Y308" t="str">
            <v>Total foraminifera counts of multinet M21/4_MSN721</v>
          </cell>
          <cell r="Z308" t="str">
            <v>PO</v>
          </cell>
        </row>
        <row r="309">
          <cell r="V309" t="str">
            <v>6788c2d8-f762-11e1-a439-00145eb45e9a</v>
          </cell>
          <cell r="W309" t="str">
            <v>gbif</v>
          </cell>
          <cell r="X309">
            <v>34</v>
          </cell>
          <cell r="Y309" t="str">
            <v>Total foraminifera counts of multinet M21/4_MSN722</v>
          </cell>
          <cell r="Z309" t="str">
            <v>PO</v>
          </cell>
        </row>
        <row r="310">
          <cell r="V310" t="str">
            <v>678bb11e-f762-11e1-a439-00145eb45e9a</v>
          </cell>
          <cell r="W310" t="str">
            <v>gbif</v>
          </cell>
          <cell r="X310">
            <v>7</v>
          </cell>
          <cell r="Y310" t="str">
            <v>Total foraminifera counts of multinet M21/4_MSN724</v>
          </cell>
          <cell r="Z310" t="str">
            <v>PO</v>
          </cell>
        </row>
        <row r="311">
          <cell r="V311" t="str">
            <v>67b0d138-f762-11e1-a439-00145eb45e9a</v>
          </cell>
          <cell r="W311" t="str">
            <v>gbif</v>
          </cell>
          <cell r="X311">
            <v>5</v>
          </cell>
          <cell r="Y311" t="str">
            <v>Total foraminifera counts of multinet M21/5_MSN728</v>
          </cell>
          <cell r="Z311" t="str">
            <v>PO</v>
          </cell>
        </row>
        <row r="312">
          <cell r="V312" t="str">
            <v>67b552d0-f762-11e1-a439-00145eb45e9a</v>
          </cell>
          <cell r="W312" t="str">
            <v>gbif</v>
          </cell>
          <cell r="X312">
            <v>8</v>
          </cell>
          <cell r="Y312" t="str">
            <v>Total foraminifera counts of multinet M21/5_MSN731</v>
          </cell>
          <cell r="Z312" t="str">
            <v>PO</v>
          </cell>
        </row>
        <row r="313">
          <cell r="V313" t="str">
            <v>67b81178-f762-11e1-a439-00145eb45e9a</v>
          </cell>
          <cell r="W313" t="str">
            <v>gbif</v>
          </cell>
          <cell r="X313">
            <v>5</v>
          </cell>
          <cell r="Y313" t="str">
            <v>Total foraminifera counts of multinet M21/5_MSN733</v>
          </cell>
          <cell r="Z313" t="str">
            <v>PO</v>
          </cell>
        </row>
        <row r="314">
          <cell r="V314" t="str">
            <v>67b947f0-f762-11e1-a439-00145eb45e9a</v>
          </cell>
          <cell r="W314" t="str">
            <v>gbif</v>
          </cell>
          <cell r="X314">
            <v>67</v>
          </cell>
          <cell r="Y314" t="str">
            <v>Total foraminifera counts of multinet M21/5_MSN734</v>
          </cell>
          <cell r="Z314" t="str">
            <v>PO</v>
          </cell>
        </row>
        <row r="315">
          <cell r="V315" t="str">
            <v>67bbe6d6-f762-11e1-a439-00145eb45e9a</v>
          </cell>
          <cell r="W315" t="str">
            <v>gbif</v>
          </cell>
          <cell r="X315">
            <v>6</v>
          </cell>
          <cell r="Y315" t="str">
            <v>Total foraminifera counts of multinet M21/5_MSN736</v>
          </cell>
          <cell r="Z315" t="str">
            <v>PO</v>
          </cell>
        </row>
        <row r="316">
          <cell r="V316" t="str">
            <v>67be683e-f762-11e1-a439-00145eb45e9a</v>
          </cell>
          <cell r="W316" t="str">
            <v>gbif</v>
          </cell>
          <cell r="X316">
            <v>1</v>
          </cell>
          <cell r="Y316" t="str">
            <v>Total foraminifera counts of multinet M21/5_MSN740</v>
          </cell>
          <cell r="Z316" t="str">
            <v>PO</v>
          </cell>
        </row>
        <row r="317">
          <cell r="V317" t="str">
            <v>67bfc53a-f762-11e1-a439-00145eb45e9a</v>
          </cell>
          <cell r="W317" t="str">
            <v>gbif</v>
          </cell>
          <cell r="X317">
            <v>55</v>
          </cell>
          <cell r="Y317" t="str">
            <v>Total foraminifera counts of multinet M21/5_MSN741</v>
          </cell>
          <cell r="Z317" t="str">
            <v>PO</v>
          </cell>
        </row>
        <row r="318">
          <cell r="V318" t="str">
            <v>67c242ec-f762-11e1-a439-00145eb45e9a</v>
          </cell>
          <cell r="W318" t="str">
            <v>gbif</v>
          </cell>
          <cell r="X318">
            <v>2</v>
          </cell>
          <cell r="Y318" t="str">
            <v>Total foraminifera counts of multinet M21/5_MSN743</v>
          </cell>
          <cell r="Z318" t="str">
            <v>PO</v>
          </cell>
        </row>
        <row r="319">
          <cell r="V319" t="str">
            <v>8235c206-82a0-460f-aa10-503071b1785f</v>
          </cell>
          <cell r="W319" t="str">
            <v>gbif</v>
          </cell>
          <cell r="X319">
            <v>86</v>
          </cell>
          <cell r="Y319" t="str">
            <v>Variability of benthic Foraminifera north and south of the Denmark Strait</v>
          </cell>
          <cell r="Z319" t="str">
            <v>PO</v>
          </cell>
        </row>
        <row r="321">
          <cell r="V321" t="str">
            <v>ba3fc1a0-5ad0-4621-8712-e01292d9872c</v>
          </cell>
          <cell r="W321" t="str">
            <v>obis</v>
          </cell>
          <cell r="Y321" t="str">
            <v>ICES contaminants and biological effects</v>
          </cell>
          <cell r="Z321" t="str">
            <v>PO</v>
          </cell>
        </row>
        <row r="322">
          <cell r="V322" t="str">
            <v>f3d7798e-7bf2-4b85-8ed4-18f2c1849d7d</v>
          </cell>
          <cell r="W322" t="str">
            <v>obis</v>
          </cell>
          <cell r="Y322" t="str">
            <v>COMARGIS: Information System on Continental Margin Ecosystems</v>
          </cell>
          <cell r="Z322" t="str">
            <v>PA</v>
          </cell>
        </row>
        <row r="323">
          <cell r="V323" t="str">
            <v>ec9df3b9-3b2b-4d83-881b-27bcbcd57b95</v>
          </cell>
          <cell r="W323" t="str">
            <v>obis</v>
          </cell>
          <cell r="Y323" t="str">
            <v>Danish benthic marine monitoring data from ODAM</v>
          </cell>
          <cell r="Z323" t="str">
            <v>PA</v>
          </cell>
        </row>
        <row r="324">
          <cell r="V324" t="str">
            <v>ebe7ffad-b134-40d3-b3df-21b675c4bcb1</v>
          </cell>
          <cell r="W324" t="str">
            <v>obis</v>
          </cell>
          <cell r="Y324" t="str">
            <v>Marine species data for Scottish waters held and managed by Scottish Natural Heritage, derived from benthic surveys 1993 to 2012</v>
          </cell>
          <cell r="Z324" t="str">
            <v>PO</v>
          </cell>
        </row>
        <row r="325">
          <cell r="V325" t="str">
            <v>2d2deee0-b592-4426-ab82-503b6bccc00d</v>
          </cell>
          <cell r="W325" t="str">
            <v>obis</v>
          </cell>
          <cell r="Y325" t="str">
            <v>SHARK - Regional monitoring and monitoring projects of Epibenthos in Sweden since 1994</v>
          </cell>
          <cell r="Z325" t="str">
            <v>PO</v>
          </cell>
        </row>
        <row r="326">
          <cell r="V326" t="str">
            <v>28b3b579-c7d1-43ad-8cf6-3e5d6b3b2016</v>
          </cell>
          <cell r="W326" t="str">
            <v>obis</v>
          </cell>
          <cell r="Y326" t="str">
            <v>SHARK - National Epibenthos monitoring in Sweden since 1992</v>
          </cell>
          <cell r="Z326" t="str">
            <v>PO</v>
          </cell>
        </row>
        <row r="327">
          <cell r="V327" t="str">
            <v>1cfc4d23-9fcd-42b2-95bf-9c4ee9bc50f6</v>
          </cell>
          <cell r="W327" t="str">
            <v>obis</v>
          </cell>
          <cell r="Y327" t="str">
            <v>Marine Turtles</v>
          </cell>
          <cell r="Z327" t="str">
            <v>PO</v>
          </cell>
        </row>
        <row r="328">
          <cell r="V328" t="str">
            <v>1bcef367-cb04-4cf6-ab1e-eab1c2b0172a</v>
          </cell>
          <cell r="W328" t="str">
            <v>obis</v>
          </cell>
          <cell r="Y328" t="str">
            <v>PANGAEA - Data from Global environmental change: the Northern North Atlantic</v>
          </cell>
          <cell r="Z328" t="str">
            <v>PO</v>
          </cell>
        </row>
        <row r="329">
          <cell r="V329" t="str">
            <v>321fa1e2-a69f-49d2-be57-b6d1368ab1f5</v>
          </cell>
          <cell r="W329" t="str">
            <v>obis</v>
          </cell>
          <cell r="Y329" t="str">
            <v>Porifera distribution data from: Deep-sea fauna of European seas - an annotated species check-list of benthic invertebrates living deeper than 2000 m in the seas bordering Europe</v>
          </cell>
          <cell r="Z329" t="str">
            <v>PA</v>
          </cell>
        </row>
        <row r="330">
          <cell r="V330" t="str">
            <v>857a8ddb-d144-416e-bc61-5f58280a0a01</v>
          </cell>
          <cell r="W330" t="str">
            <v>obis</v>
          </cell>
          <cell r="Y330" t="str">
            <v>Svalbard Tidal Zone data</v>
          </cell>
          <cell r="Z330" t="str">
            <v>PA</v>
          </cell>
        </row>
        <row r="331">
          <cell r="V331" t="str">
            <v>55fe88ac-f76a-40c5-b529-037b460a5771</v>
          </cell>
          <cell r="W331" t="str">
            <v>obis</v>
          </cell>
          <cell r="Y331" t="str">
            <v>PANGAEA - Data from Leibniz Institute of Marine Sciences</v>
          </cell>
          <cell r="Z331" t="str">
            <v>PO</v>
          </cell>
        </row>
        <row r="332">
          <cell r="V332" t="str">
            <v>f7d8aa43-cdfe-4be2-82a6-88ee33c5c60c</v>
          </cell>
          <cell r="W332" t="str">
            <v>obis</v>
          </cell>
          <cell r="Y332" t="str">
            <v>Biogeographic data from BODC - British Oceanographic Data Centre</v>
          </cell>
          <cell r="Z332" t="str">
            <v>PO</v>
          </cell>
        </row>
        <row r="333">
          <cell r="V333" t="str">
            <v>80479e14-2730-436d-acaa-b63bdc7dd06f</v>
          </cell>
          <cell r="W333" t="str">
            <v>obis</v>
          </cell>
          <cell r="Y333" t="str">
            <v>World Ocean Database 2009</v>
          </cell>
          <cell r="Z333" t="str">
            <v>PA</v>
          </cell>
        </row>
        <row r="334">
          <cell r="V334" t="str">
            <v>8bf9890c-58a5-4aef-a34f-dafa6fe407e3</v>
          </cell>
          <cell r="W334" t="str">
            <v>obis</v>
          </cell>
          <cell r="Y334" t="str">
            <v>Echinoidea distribution data from: Deep-sea fauna of European seas - an annotated species check-list of benthic invertebrates living deeper than 2000 m in the seas bordering Europe</v>
          </cell>
          <cell r="Z334" t="str">
            <v>PO</v>
          </cell>
        </row>
        <row r="335">
          <cell r="V335" t="str">
            <v>55fdf3b0-744a-4a29-a81e-7d9884be1a91</v>
          </cell>
          <cell r="W335" t="str">
            <v>obis</v>
          </cell>
          <cell r="Y335" t="str">
            <v>IMR Zooplankton Norwegian Sea</v>
          </cell>
          <cell r="Z335" t="str">
            <v>PA</v>
          </cell>
        </row>
        <row r="336">
          <cell r="V336" t="str">
            <v>c0c05803-63d7-434d-b7f6-db638d57ab36</v>
          </cell>
          <cell r="W336" t="str">
            <v>obis</v>
          </cell>
          <cell r="Y336" t="str">
            <v>Fishes of the Gothenburg Natural History Museum</v>
          </cell>
          <cell r="Z336" t="str">
            <v>PO</v>
          </cell>
        </row>
        <row r="337">
          <cell r="V337" t="str">
            <v>2b75ad47-cee7-490f-ba9a-b7c0d499d583</v>
          </cell>
          <cell r="W337" t="str">
            <v>obis</v>
          </cell>
          <cell r="Y337" t="str">
            <v>Holothuroidea distribution data from: Deep-sea fauna of European seas - an annotated species check-list of benthic invertebrates living deeper than 2000 m in the seas bordering Europe</v>
          </cell>
          <cell r="Z337" t="str">
            <v>PO</v>
          </cell>
        </row>
        <row r="338">
          <cell r="V338" t="str">
            <v>a4236fe5-21ab-4faa-9221-ed8c65f92c4d</v>
          </cell>
          <cell r="W338" t="str">
            <v>obis</v>
          </cell>
          <cell r="Y338" t="str">
            <v>Offshore reference stations (Finnmark)</v>
          </cell>
          <cell r="Z338" t="str">
            <v>PO</v>
          </cell>
        </row>
        <row r="339">
          <cell r="V339" t="str">
            <v>d94f3ea4-4519-4eb0-9d03-5cfc1caab13f</v>
          </cell>
          <cell r="W339" t="str">
            <v>obis</v>
          </cell>
          <cell r="Y339" t="str">
            <v>Offshore reference stations, Norwegian/Barents Sea</v>
          </cell>
          <cell r="Z339" t="str">
            <v>PO</v>
          </cell>
        </row>
        <row r="340">
          <cell r="V340" t="str">
            <v>46c52e34-73b7-45e6-a2ac-742e4c2058c5</v>
          </cell>
          <cell r="W340" t="str">
            <v>obis</v>
          </cell>
          <cell r="Y340" t="str">
            <v>ICES Phytoplankton Community dataset</v>
          </cell>
          <cell r="Z340" t="str">
            <v>PO</v>
          </cell>
        </row>
        <row r="341">
          <cell r="V341" t="str">
            <v>fbe20230-f4f1-48e7-83ee-4cd3ad15a1db</v>
          </cell>
          <cell r="W341" t="str">
            <v>obis</v>
          </cell>
          <cell r="Y341" t="str">
            <v>Occurrence records of southern African aquatic biodiversity</v>
          </cell>
          <cell r="Z341" t="str">
            <v>PO</v>
          </cell>
        </row>
        <row r="342">
          <cell r="V342" t="str">
            <v>c998748f-0dd0-4c5f-bb7d-1663ce3dacad</v>
          </cell>
          <cell r="W342" t="str">
            <v>obis</v>
          </cell>
          <cell r="Y342" t="str">
            <v>Zoobenthos data from different sources (collected and extracted from literature), personal archive of G.V. Murina (IBSS)</v>
          </cell>
          <cell r="Z342" t="str">
            <v>PO</v>
          </cell>
        </row>
        <row r="343">
          <cell r="V343" t="str">
            <v>e36e3421-8bc9-47e2-aa60-7e367a889397</v>
          </cell>
          <cell r="W343" t="str">
            <v>obis</v>
          </cell>
          <cell r="Y343" t="str">
            <v>Crinoidea distribution data from: Deep-sea fauna of European seas - an annotated species check-list of benthic invertebrates living deeper than 2000 m in the seas bordering Europe</v>
          </cell>
          <cell r="Z343" t="str">
            <v>PO</v>
          </cell>
        </row>
        <row r="344">
          <cell r="V344" t="str">
            <v>de2825af-7d83-4585-b6cb-118cff3774cd</v>
          </cell>
          <cell r="W344" t="str">
            <v>obis</v>
          </cell>
          <cell r="Y344" t="str">
            <v>Benthic fauna in Estonian territorial waters 1993-2016</v>
          </cell>
          <cell r="Z344" t="str">
            <v>PA</v>
          </cell>
        </row>
        <row r="345">
          <cell r="V345" t="str">
            <v>b74b429a-4052-4f5b-bff3-fe0b5a2e8669</v>
          </cell>
          <cell r="W345" t="str">
            <v>obis</v>
          </cell>
          <cell r="Y345" t="str">
            <v>Type locality distributions from the World Register of Marine Species</v>
          </cell>
          <cell r="Z345" t="str">
            <v>PO</v>
          </cell>
        </row>
        <row r="346">
          <cell r="V346" t="str">
            <v>f1ad2d12-8f7e-4b56-848c-ffa9c6103eb1</v>
          </cell>
          <cell r="W346" t="str">
            <v>obis</v>
          </cell>
          <cell r="Y346" t="str">
            <v>SHARK - National marine environmental monitoring of zooplankton in Sweden since 1979</v>
          </cell>
          <cell r="Z346" t="str">
            <v>PO</v>
          </cell>
        </row>
        <row r="347">
          <cell r="V347" t="str">
            <v>d28b4411-1710-4b08-9ec7-99b8c68ae4b2</v>
          </cell>
          <cell r="W347" t="str">
            <v>obis</v>
          </cell>
          <cell r="Y347" t="str">
            <v>SHARK - Regional monitoring, recipient control and monitoring projects of zoobenthos in Sweden since 1972</v>
          </cell>
          <cell r="Z347" t="str">
            <v>PO</v>
          </cell>
        </row>
        <row r="348">
          <cell r="V348" t="str">
            <v>b1363fbb-afec-4dc7-85b6-39b8a5ebb55c</v>
          </cell>
          <cell r="W348" t="str">
            <v>obis</v>
          </cell>
          <cell r="Y348" t="str">
            <v>Personal library collection of Martin Angel of published and unpublished Halocyprid (Ostracoda) occurrences</v>
          </cell>
          <cell r="Z348" t="str">
            <v>PO</v>
          </cell>
        </row>
        <row r="349">
          <cell r="V349" t="str">
            <v>8acba7e7-2e50-4490-8328-b78a30472508</v>
          </cell>
          <cell r="W349" t="str">
            <v>obis</v>
          </cell>
          <cell r="Y349" t="str">
            <v>ICES Zoobenthos Community dataset</v>
          </cell>
          <cell r="Z349" t="str">
            <v>PO</v>
          </cell>
        </row>
        <row r="350">
          <cell r="V350" t="str">
            <v>66fe7e4b-ddcc-44aa-8378-c7c7482c2844</v>
          </cell>
          <cell r="W350" t="str">
            <v>obis</v>
          </cell>
          <cell r="Y350" t="str">
            <v>ICES Eggs and larvae</v>
          </cell>
          <cell r="Z350" t="str">
            <v>PO</v>
          </cell>
        </row>
        <row r="351">
          <cell r="V351" t="str">
            <v>e815809e-fcb5-4ee7-8edd-639aa4b4892d</v>
          </cell>
          <cell r="W351" t="str">
            <v>obis</v>
          </cell>
          <cell r="Y351" t="str">
            <v>Phytoplankton from the White Sea, Barents Sea, Norwegian Sea and Arctic Basin 1993-2003</v>
          </cell>
          <cell r="Z351" t="str">
            <v>PA</v>
          </cell>
        </row>
        <row r="352">
          <cell r="V352" t="str">
            <v>00f47c38-6233-4d6c-bd93-67a771ab6224</v>
          </cell>
          <cell r="W352" t="str">
            <v>obis</v>
          </cell>
          <cell r="Y352" t="str">
            <v>Collection Polychaeta SMF</v>
          </cell>
          <cell r="Z352" t="str">
            <v>PO</v>
          </cell>
        </row>
        <row r="353">
          <cell r="V353" t="str">
            <v>705770e5-3474-4e69-be8b-3107a0c5610a</v>
          </cell>
          <cell r="W353" t="str">
            <v>obis</v>
          </cell>
          <cell r="Y353" t="str">
            <v>The fishes collection (IC) of the Muséum national d'Histoire naturelle (MNHN - Paris)</v>
          </cell>
          <cell r="Z353" t="str">
            <v>PO</v>
          </cell>
        </row>
        <row r="354">
          <cell r="V354" t="str">
            <v>2fd06604-7d20-4712-9f68-eae9ae336bb5</v>
          </cell>
          <cell r="W354" t="str">
            <v>obis</v>
          </cell>
          <cell r="Y354" t="str">
            <v>MICROBIS Database (version 1) - European data</v>
          </cell>
          <cell r="Z354" t="str">
            <v>PO</v>
          </cell>
        </row>
        <row r="355">
          <cell r="V355" t="str">
            <v>b028c32d-98bc-49dd-b2ae-038d9bff101f</v>
          </cell>
          <cell r="W355" t="str">
            <v>obis</v>
          </cell>
          <cell r="Y355" t="str">
            <v>Arctic Meiofauna Succession</v>
          </cell>
          <cell r="Z355" t="str">
            <v>PA</v>
          </cell>
        </row>
        <row r="356">
          <cell r="V356" t="str">
            <v>1f80810b-54d9-4b5e-bd63-3fb9736c2f46</v>
          </cell>
          <cell r="W356" t="str">
            <v>obis</v>
          </cell>
          <cell r="Y356" t="str">
            <v>Northern shrimp (Pandalus borealis) in the Norwegian Deep and Skagerrak, 1984-2017</v>
          </cell>
          <cell r="Z356" t="str">
            <v>PA</v>
          </cell>
        </row>
        <row r="357">
          <cell r="V357" t="str">
            <v>0c1cb7e9-c7d1-4643-b245-daa8839a183f</v>
          </cell>
          <cell r="W357" t="str">
            <v>obis</v>
          </cell>
          <cell r="Y357" t="str">
            <v>The UK Archive for Marine Species and Habitats Data</v>
          </cell>
          <cell r="Z357" t="str">
            <v>PO</v>
          </cell>
        </row>
        <row r="358">
          <cell r="V358" t="str">
            <v>58420107-111e-41f9-bcb7-d8abd65a7c1b</v>
          </cell>
          <cell r="W358" t="str">
            <v>obis</v>
          </cell>
          <cell r="Y358" t="str">
            <v>SHARK - Regional monitoring, recipient control and monitoring projects of phytoplankton in Sweden since 1985</v>
          </cell>
          <cell r="Z358" t="str">
            <v>PA</v>
          </cell>
        </row>
        <row r="359">
          <cell r="V359" t="str">
            <v>c28a98ea-84bc-4930-8d82-778ed7402269</v>
          </cell>
          <cell r="W359" t="str">
            <v>obis</v>
          </cell>
          <cell r="Y359" t="str">
            <v>Phytoplankton composition, biomass and abundance in Estonian territorial waters 1993-2016</v>
          </cell>
          <cell r="Z359" t="str">
            <v>PA</v>
          </cell>
        </row>
        <row r="360">
          <cell r="V360" t="str">
            <v>a9a3bdc6-209f-4c66-aafd-ce5271cb63b3</v>
          </cell>
          <cell r="W360" t="str">
            <v>obis</v>
          </cell>
          <cell r="Y360" t="str">
            <v>RSMP Baseline Dataset</v>
          </cell>
          <cell r="Z360" t="str">
            <v>PA</v>
          </cell>
        </row>
        <row r="361">
          <cell r="V361" t="str">
            <v>26de959f-8916-43cf-9472-170c28358a8e</v>
          </cell>
          <cell r="W361" t="str">
            <v>obis</v>
          </cell>
          <cell r="Y361" t="str">
            <v>IMR Macroplankton surveys</v>
          </cell>
          <cell r="Z361" t="str">
            <v>PO</v>
          </cell>
        </row>
        <row r="362">
          <cell r="V362" t="str">
            <v>363961a9-9f45-46df-980b-0b076e66a296</v>
          </cell>
          <cell r="W362" t="str">
            <v>obis</v>
          </cell>
          <cell r="Y362" t="str">
            <v>ICES Zooplankton Community dataset</v>
          </cell>
          <cell r="Z362" t="str">
            <v>PA</v>
          </cell>
        </row>
        <row r="363">
          <cell r="V363" t="str">
            <v>843d3c1f-d82a-4ebd-b5f9-299706f04789</v>
          </cell>
          <cell r="W363" t="str">
            <v>obis</v>
          </cell>
          <cell r="Y363" t="str">
            <v>Benthos of the White Sea - A database</v>
          </cell>
          <cell r="Z363" t="str">
            <v>PO</v>
          </cell>
        </row>
        <row r="364">
          <cell r="V364" t="str">
            <v>9c8a2ac6-f394-4fa1-981e-227fa7b14675</v>
          </cell>
          <cell r="W364" t="str">
            <v>obis</v>
          </cell>
          <cell r="Y364" t="str">
            <v>ICES Phytobenthos community dataset</v>
          </cell>
          <cell r="Z364" t="str">
            <v>PO</v>
          </cell>
        </row>
        <row r="365">
          <cell r="V365" t="str">
            <v>43d19bf8-4d49-413b-bedb-4fa4547714fa</v>
          </cell>
          <cell r="W365" t="str">
            <v>obis</v>
          </cell>
          <cell r="Y365" t="str">
            <v>Finnish Baltic Sea benthic monitoring, POHJE database</v>
          </cell>
          <cell r="Z365" t="str">
            <v>PA</v>
          </cell>
        </row>
        <row r="366">
          <cell r="V366" t="str">
            <v>f7677584-eb01-44ca-96f9-a334381034fa</v>
          </cell>
          <cell r="W366" t="str">
            <v>obis</v>
          </cell>
          <cell r="Y366" t="str">
            <v>Alabama Museum of Natural History Invertebrate Zoology (Arctos)</v>
          </cell>
          <cell r="Z366" t="str">
            <v>PO</v>
          </cell>
        </row>
        <row r="367">
          <cell r="V367" t="str">
            <v>d2caf73d-7e52-4113-b2f6-b89b439a9a2f</v>
          </cell>
          <cell r="W367" t="str">
            <v>obis</v>
          </cell>
          <cell r="Y367" t="str">
            <v>Marine Recorder Snapshot extract of surveys entered by JNCC</v>
          </cell>
          <cell r="Z367" t="str">
            <v>PO</v>
          </cell>
        </row>
        <row r="368">
          <cell r="V368" t="str">
            <v>d19d6c41-ab39-467e-871c-472ae67bbd57</v>
          </cell>
          <cell r="W368" t="str">
            <v>obis</v>
          </cell>
          <cell r="Y368" t="str">
            <v>Zooplankton biomass and abundance in Estonian territorial waters 1993-2016</v>
          </cell>
          <cell r="Z368" t="str">
            <v>PA</v>
          </cell>
        </row>
        <row r="369">
          <cell r="V369" t="str">
            <v>dd335e79-f580-44a1-bedc-1476437eb73e</v>
          </cell>
          <cell r="W369" t="str">
            <v>obis</v>
          </cell>
          <cell r="Y369" t="str">
            <v>Incidental sightings of marine mammals</v>
          </cell>
          <cell r="Z369" t="str">
            <v>PO</v>
          </cell>
        </row>
        <row r="370">
          <cell r="V370" t="str">
            <v>564b07e1-4b8b-4a95-a648-bc84fd0662b3</v>
          </cell>
          <cell r="W370" t="str">
            <v>obis</v>
          </cell>
          <cell r="Y370" t="str">
            <v>Seabird 2000</v>
          </cell>
          <cell r="Z370" t="str">
            <v>PA</v>
          </cell>
        </row>
        <row r="371">
          <cell r="V371" t="str">
            <v>7c55b26f-a47a-454d-a724-64e1b3bb9d74</v>
          </cell>
          <cell r="W371" t="str">
            <v>obis</v>
          </cell>
          <cell r="Y371" t="str">
            <v>United Kingdom National Whale Stranding Database 1913-2008</v>
          </cell>
          <cell r="Z371" t="str">
            <v>PO</v>
          </cell>
        </row>
        <row r="372">
          <cell r="V372" t="str">
            <v>3ff82f02-aefe-45bb-a37e-3035394b3e56</v>
          </cell>
          <cell r="W372" t="str">
            <v>obis</v>
          </cell>
          <cell r="Y372" t="str">
            <v>Mid-winter waterfowl count, Estonian national monitoring 1991-2016</v>
          </cell>
          <cell r="Z372" t="str">
            <v>PA</v>
          </cell>
        </row>
        <row r="373">
          <cell r="V373" t="str">
            <v>628600f7-1580-4c0e-b1b3-acb5c5613966</v>
          </cell>
          <cell r="W373" t="str">
            <v>obis</v>
          </cell>
          <cell r="Y373" t="str">
            <v>Lophelia pertusa reefs in Norwegian seawaters</v>
          </cell>
          <cell r="Z373" t="str">
            <v>PO</v>
          </cell>
        </row>
        <row r="374">
          <cell r="V374" t="str">
            <v>c431bef6-78ce-4308-9e36-3561d18d4414</v>
          </cell>
          <cell r="W374" t="str">
            <v>obis</v>
          </cell>
          <cell r="Y374" t="str">
            <v>Breeding avifauna of small Estonian islands and islets, national monitoring 1957-2016</v>
          </cell>
          <cell r="Z374" t="str">
            <v>PA</v>
          </cell>
        </row>
        <row r="375">
          <cell r="V375" t="str">
            <v>c80e637a-8cf3-484a-b6b0-587b1a7893e9</v>
          </cell>
          <cell r="W375" t="str">
            <v>obis</v>
          </cell>
          <cell r="Y375" t="str">
            <v>Global benthic biogeographical regions and macroecological drivers for ophiuroids [Data set]</v>
          </cell>
          <cell r="Z375" t="str">
            <v>PA</v>
          </cell>
        </row>
        <row r="376">
          <cell r="V376" t="str">
            <v>62ddad25-2a19-485d-9bae-7eb3a40a71c5</v>
          </cell>
          <cell r="W376" t="str">
            <v>obis</v>
          </cell>
          <cell r="Y376" t="str">
            <v>Harmful Algal Event Database (HAEDAT)</v>
          </cell>
          <cell r="Z376" t="str">
            <v>PO</v>
          </cell>
        </row>
        <row r="377">
          <cell r="V377" t="str">
            <v>49bbc435-2bff-432c-8dd4-b2e7b514ada3</v>
          </cell>
          <cell r="W377" t="str">
            <v>obis</v>
          </cell>
          <cell r="Y377" t="str">
            <v>Cold water corals</v>
          </cell>
          <cell r="Z377" t="str">
            <v>PO</v>
          </cell>
        </row>
        <row r="378">
          <cell r="V378" t="str">
            <v>2b43830c-60c7-4110-a0f1-84269a4b39d3</v>
          </cell>
          <cell r="W378" t="str">
            <v>obis</v>
          </cell>
          <cell r="Y378" t="str">
            <v>Non-indigenous (NIS) and cryptogenic species in European regional seas and adjacent areas</v>
          </cell>
          <cell r="Z378" t="str">
            <v>PO</v>
          </cell>
        </row>
        <row r="379">
          <cell r="V379" t="str">
            <v>c697826c-1da7-4916-a387-e35008a90415</v>
          </cell>
          <cell r="W379" t="str">
            <v>obis</v>
          </cell>
          <cell r="Y379" t="str">
            <v>Macrobenthos from the Norwegian waters</v>
          </cell>
          <cell r="Z379" t="str">
            <v>PA</v>
          </cell>
        </row>
        <row r="380">
          <cell r="V380" t="str">
            <v>fec77f2d-d241-4b1d-8a93-f76b535e596b</v>
          </cell>
          <cell r="W380" t="str">
            <v>obis</v>
          </cell>
          <cell r="Y380" t="str">
            <v>Macrobenthos data from the Norwegian Skagerrak coast</v>
          </cell>
          <cell r="Z380" t="str">
            <v>PA</v>
          </cell>
        </row>
        <row r="381">
          <cell r="V381" t="str">
            <v>c4e7e0d6-aef2-480f-8157-134bd1c6b229</v>
          </cell>
          <cell r="W381" t="str">
            <v>obis</v>
          </cell>
          <cell r="Y381" t="str">
            <v>Macrozoobenthos data from the southeastern North Sea in 2000</v>
          </cell>
          <cell r="Z381" t="str">
            <v>PA</v>
          </cell>
        </row>
        <row r="382">
          <cell r="V382" t="str">
            <v>3bac1bfd-301c-44d9-abed-6588cc51365b</v>
          </cell>
          <cell r="W382" t="str">
            <v>obis</v>
          </cell>
          <cell r="Y382" t="str">
            <v>Harpacticoida from a field survey in the White Sea in 2000</v>
          </cell>
          <cell r="Z382" t="str">
            <v>PO</v>
          </cell>
        </row>
        <row r="383">
          <cell r="V383" t="str">
            <v>ef7620c2-cf73-41d8-9386-f1fc51893798</v>
          </cell>
          <cell r="W383" t="str">
            <v>obis</v>
          </cell>
          <cell r="Y383" t="str">
            <v>Distribution of Harpacticoida in the Chernaya River estuary (White Sea)</v>
          </cell>
          <cell r="Z383" t="str">
            <v>PA</v>
          </cell>
        </row>
        <row r="384">
          <cell r="V384" t="str">
            <v>5c37fe6f-16d7-4da2-a591-fb4420fc217f</v>
          </cell>
          <cell r="W384" t="str">
            <v>obis</v>
          </cell>
          <cell r="Y384" t="str">
            <v>Marine Life Information Network (MarLIN) marine survey data (Professional)</v>
          </cell>
          <cell r="Z384" t="str">
            <v>PA</v>
          </cell>
        </row>
        <row r="385">
          <cell r="V385" t="str">
            <v>29dbebfe-bf43-4167-ab9b-48bcd546edc9</v>
          </cell>
          <cell r="W385" t="str">
            <v>obis</v>
          </cell>
          <cell r="Y385" t="str">
            <v>World Database of Nematodes</v>
          </cell>
          <cell r="Z385" t="str">
            <v>PO</v>
          </cell>
        </row>
        <row r="386">
          <cell r="V386" t="str">
            <v>4a058eda-7edc-400b-a5a2-49dc8c193412</v>
          </cell>
          <cell r="W386" t="str">
            <v>obis</v>
          </cell>
          <cell r="Y386" t="str">
            <v>Sizing Ocean Giants</v>
          </cell>
          <cell r="Z386" t="str">
            <v>PA</v>
          </cell>
        </row>
        <row r="387">
          <cell r="V387" t="str">
            <v>ad7aad95-2c0f-4057-8900-2796776531ba</v>
          </cell>
          <cell r="W387" t="str">
            <v>obis</v>
          </cell>
          <cell r="Y387" t="str">
            <v>HMAP Dataset 12: North-west Scotland Fisheries</v>
          </cell>
          <cell r="Z387" t="str">
            <v>PO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BD39-6B79-4E20-AD1C-1336553EF7E6}">
  <dimension ref="A1:E183"/>
  <sheetViews>
    <sheetView tabSelected="1" workbookViewId="0">
      <selection activeCell="K28" sqref="K28"/>
    </sheetView>
  </sheetViews>
  <sheetFormatPr defaultRowHeight="15" x14ac:dyDescent="0.25"/>
  <cols>
    <col min="1" max="1" width="18.140625" style="1" customWidth="1"/>
    <col min="2" max="2" width="18.42578125" style="1" customWidth="1"/>
    <col min="3" max="3" width="19.5703125" style="1" customWidth="1"/>
    <col min="4" max="4" width="40.85546875" style="1" customWidth="1"/>
    <col min="5" max="16384" width="9.140625" style="1"/>
  </cols>
  <sheetData>
    <row r="1" spans="1:5" x14ac:dyDescent="0.25">
      <c r="A1" s="1" t="s">
        <v>191</v>
      </c>
      <c r="B1" s="1" t="s">
        <v>190</v>
      </c>
      <c r="C1" s="1" t="s">
        <v>189</v>
      </c>
      <c r="D1" s="1" t="s">
        <v>192</v>
      </c>
      <c r="E1" s="1" t="s">
        <v>193</v>
      </c>
    </row>
    <row r="2" spans="1:5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195</v>
      </c>
    </row>
    <row r="3" spans="1:5" x14ac:dyDescent="0.25">
      <c r="A3" s="1">
        <v>2</v>
      </c>
      <c r="B3" s="1" t="s">
        <v>3</v>
      </c>
      <c r="C3" s="1" t="s">
        <v>1</v>
      </c>
      <c r="D3" s="1" t="str">
        <f>VLOOKUP([1]datasetSummary!B3,[1]obisUUIDs!$V$2:$Z$387,4,)</f>
        <v>Collection Polychaeta SMF</v>
      </c>
      <c r="E3" s="1" t="s">
        <v>195</v>
      </c>
    </row>
    <row r="4" spans="1:5" x14ac:dyDescent="0.25">
      <c r="A4" s="1">
        <v>3</v>
      </c>
      <c r="B4" s="1" t="s">
        <v>4</v>
      </c>
      <c r="C4" s="1" t="s">
        <v>5</v>
      </c>
      <c r="D4" s="1" t="str">
        <f>VLOOKUP([1]datasetSummary!B4,[1]obisUUIDs!$V$2:$Z$387,4,)</f>
        <v>HBIs and sterols in zooplankton Nansen Legacy Q4</v>
      </c>
      <c r="E4" s="1" t="s">
        <v>194</v>
      </c>
    </row>
    <row r="5" spans="1:5" x14ac:dyDescent="0.25">
      <c r="A5" s="1">
        <v>4</v>
      </c>
      <c r="B5" s="1" t="s">
        <v>6</v>
      </c>
      <c r="C5" s="1" t="s">
        <v>5</v>
      </c>
      <c r="D5" s="1" t="str">
        <f>VLOOKUP([1]datasetSummary!B5,[1]obisUUIDs!$V$2:$Z$387,4,)</f>
        <v>The molluscs collection (IM) of the Muséum national d'Histoire naturelle (MNHN - Paris)</v>
      </c>
      <c r="E5" s="1" t="s">
        <v>195</v>
      </c>
    </row>
    <row r="6" spans="1:5" x14ac:dyDescent="0.25">
      <c r="A6" s="1">
        <v>5</v>
      </c>
      <c r="B6" s="1" t="s">
        <v>7</v>
      </c>
      <c r="C6" s="1" t="s">
        <v>1</v>
      </c>
      <c r="D6" s="1" t="str">
        <f>VLOOKUP([1]datasetSummary!B6,[1]obisUUIDs!$V$2:$Z$387,4,)</f>
        <v>imr_fish</v>
      </c>
      <c r="E6" s="1" t="s">
        <v>194</v>
      </c>
    </row>
    <row r="7" spans="1:5" x14ac:dyDescent="0.25">
      <c r="A7" s="1">
        <v>6</v>
      </c>
      <c r="B7" s="1" t="s">
        <v>8</v>
      </c>
      <c r="C7" s="1" t="s">
        <v>5</v>
      </c>
      <c r="D7" s="1" t="str">
        <f>VLOOKUP([1]datasetSummary!B7,[1]obisUUIDs!$V$2:$Z$387,4,)</f>
        <v>Crustacea collection (TSZCr) The Arctic University Museum of Norway</v>
      </c>
      <c r="E7" s="1" t="s">
        <v>195</v>
      </c>
    </row>
    <row r="8" spans="1:5" x14ac:dyDescent="0.25">
      <c r="A8" s="1">
        <v>7</v>
      </c>
      <c r="B8" s="1" t="s">
        <v>9</v>
      </c>
      <c r="C8" s="1" t="s">
        <v>5</v>
      </c>
      <c r="D8" s="1" t="str">
        <f>VLOOKUP([1]datasetSummary!B8,[1]obisUUIDs!$V$2:$Z$387,4,)</f>
        <v>International Barcode of Life project (iBOL)</v>
      </c>
      <c r="E8" s="1" t="s">
        <v>195</v>
      </c>
    </row>
    <row r="9" spans="1:5" x14ac:dyDescent="0.25">
      <c r="A9" s="1">
        <v>8</v>
      </c>
      <c r="B9" s="1" t="s">
        <v>10</v>
      </c>
      <c r="C9" s="1" t="s">
        <v>5</v>
      </c>
      <c r="D9" s="1" t="str">
        <f>VLOOKUP([1]datasetSummary!B9,[1]obisUUIDs!$V$2:$Z$387,4,)</f>
        <v>Catalogue of the type specimens of the Shirshov Institute of Oceanology collection of the ocean benthic fauna</v>
      </c>
      <c r="E9" s="1" t="s">
        <v>195</v>
      </c>
    </row>
    <row r="10" spans="1:5" x14ac:dyDescent="0.25">
      <c r="A10" s="1">
        <v>9</v>
      </c>
      <c r="B10" s="1" t="s">
        <v>11</v>
      </c>
      <c r="C10" s="1" t="s">
        <v>5</v>
      </c>
      <c r="D10" s="1" t="str">
        <f>VLOOKUP([1]datasetSummary!B10,[1]obisUUIDs!$V$2:$Z$387,4,)</f>
        <v>Vertebrates detected in marine water (collected July 2023) from the North Atlantic by the MSC Poesia cruise ship; inferred from 12S DNA metabarcoding data.</v>
      </c>
      <c r="E10" s="1" t="s">
        <v>195</v>
      </c>
    </row>
    <row r="11" spans="1:5" x14ac:dyDescent="0.25">
      <c r="A11" s="1">
        <v>10</v>
      </c>
      <c r="B11" s="1" t="s">
        <v>12</v>
      </c>
      <c r="C11" s="1" t="s">
        <v>1</v>
      </c>
      <c r="D11" s="1" t="str">
        <f>VLOOKUP([1]datasetSummary!B11,[1]obisUUIDs!$V$2:$Z$387,4,)</f>
        <v>Royal Belgian Institute of Natural Sciences Crustacea collection</v>
      </c>
      <c r="E11" s="1" t="s">
        <v>195</v>
      </c>
    </row>
    <row r="12" spans="1:5" x14ac:dyDescent="0.25">
      <c r="A12" s="1">
        <v>11</v>
      </c>
      <c r="B12" s="2" t="s">
        <v>13</v>
      </c>
      <c r="C12" s="1" t="s">
        <v>5</v>
      </c>
      <c r="D12" s="1" t="str">
        <f>VLOOKUP([1]datasetSummary!B12,[1]obisUUIDs!$V$2:$Z$387,4,)</f>
        <v>artsprosjektet_52-14_cirripedia</v>
      </c>
      <c r="E12" s="1" t="s">
        <v>195</v>
      </c>
    </row>
    <row r="13" spans="1:5" x14ac:dyDescent="0.25">
      <c r="A13" s="1">
        <v>12</v>
      </c>
      <c r="B13" s="1" t="s">
        <v>14</v>
      </c>
      <c r="C13" s="1" t="s">
        <v>5</v>
      </c>
      <c r="D13" s="1" t="str">
        <f>VLOOKUP([1]datasetSummary!B13,[1]obisUUIDs!$V$2:$Z$387,4,)</f>
        <v>SSU rRNA amplicon of the Arctic Ocean during Winter-Spring Transition</v>
      </c>
      <c r="E13" s="1" t="s">
        <v>195</v>
      </c>
    </row>
    <row r="14" spans="1:5" x14ac:dyDescent="0.25">
      <c r="A14" s="1">
        <v>13</v>
      </c>
      <c r="B14" s="1" t="s">
        <v>15</v>
      </c>
      <c r="C14" s="1" t="s">
        <v>1</v>
      </c>
      <c r="D14" s="1" t="str">
        <f>VLOOKUP([1]datasetSummary!B14,[1]obisUUIDs!$V$2:$Z$387,4,)</f>
        <v>The UK Archive for Marine Species and Habitats Data</v>
      </c>
      <c r="E14" s="1" t="s">
        <v>195</v>
      </c>
    </row>
    <row r="15" spans="1:5" x14ac:dyDescent="0.25">
      <c r="A15" s="1">
        <v>14</v>
      </c>
      <c r="B15" s="1" t="s">
        <v>16</v>
      </c>
      <c r="C15" s="1" t="s">
        <v>5</v>
      </c>
      <c r="D15" s="1" t="str">
        <f>VLOOKUP([1]datasetSummary!B15,[1]obisUUIDs!$V$2:$Z$387,4,)</f>
        <v>aen-q2-mesozooplankton-biodiversity</v>
      </c>
      <c r="E15" s="1" t="s">
        <v>194</v>
      </c>
    </row>
    <row r="16" spans="1:5" x14ac:dyDescent="0.25">
      <c r="A16" s="1">
        <v>15</v>
      </c>
      <c r="B16" s="1" t="s">
        <v>17</v>
      </c>
      <c r="C16" s="1" t="s">
        <v>5</v>
      </c>
      <c r="D16" s="1" t="s">
        <v>18</v>
      </c>
      <c r="E16" s="1" t="s">
        <v>195</v>
      </c>
    </row>
    <row r="17" spans="1:5" x14ac:dyDescent="0.25">
      <c r="A17" s="1">
        <v>16</v>
      </c>
      <c r="B17" s="1" t="s">
        <v>19</v>
      </c>
      <c r="C17" s="1" t="s">
        <v>5</v>
      </c>
      <c r="D17" s="1" t="str">
        <f>VLOOKUP([1]datasetSummary!B17,[1]obisUUIDs!$V$2:$Z$387,4,)</f>
        <v>Nansen Legacy JC2-1 ice algae biodiversity</v>
      </c>
      <c r="E17" s="1" t="s">
        <v>194</v>
      </c>
    </row>
    <row r="18" spans="1:5" x14ac:dyDescent="0.25">
      <c r="A18" s="1">
        <v>17</v>
      </c>
      <c r="B18" s="1" t="s">
        <v>20</v>
      </c>
      <c r="C18" s="1" t="s">
        <v>1</v>
      </c>
      <c r="D18" s="1" t="str">
        <f>VLOOKUP([1]datasetSummary!B18,[1]obisUUIDs!$V$2:$Z$387,4,)</f>
        <v>beamtrawl_2006-2022</v>
      </c>
      <c r="E18" s="1" t="s">
        <v>194</v>
      </c>
    </row>
    <row r="19" spans="1:5" x14ac:dyDescent="0.25">
      <c r="A19" s="1">
        <v>18</v>
      </c>
      <c r="B19" s="1" t="s">
        <v>21</v>
      </c>
      <c r="C19" s="1" t="s">
        <v>1</v>
      </c>
      <c r="D19" s="1" t="str">
        <f>VLOOKUP([1]datasetSummary!B19,[1]obisUUIDs!$V$2:$Z$387,4,)</f>
        <v>rp-sledge_2006-2022</v>
      </c>
      <c r="E19" s="1" t="s">
        <v>194</v>
      </c>
    </row>
    <row r="20" spans="1:5" x14ac:dyDescent="0.25">
      <c r="A20" s="1">
        <v>19</v>
      </c>
      <c r="B20" s="1" t="s">
        <v>22</v>
      </c>
      <c r="C20" s="1" t="s">
        <v>5</v>
      </c>
      <c r="D20" s="1" t="str">
        <f>VLOOKUP([1]datasetSummary!B20,[1]obisUUIDs!$V$2:$Z$387,4,)</f>
        <v>Macrobenthos of the continental slope north of Svalbard from the Nansen Legacy joint cruise JC3 in Feb/Mar 2023.</v>
      </c>
      <c r="E20" s="1" t="s">
        <v>194</v>
      </c>
    </row>
    <row r="21" spans="1:5" x14ac:dyDescent="0.25">
      <c r="A21" s="1">
        <v>20</v>
      </c>
      <c r="B21" s="1" t="s">
        <v>23</v>
      </c>
      <c r="C21" s="1" t="s">
        <v>5</v>
      </c>
      <c r="D21" s="1" t="str">
        <f>VLOOKUP([1]datasetSummary!B21,[1]obisUUIDs!$V$2:$Z$387,4,)</f>
        <v>Occurrence records of southern African aquatic biodiversity</v>
      </c>
      <c r="E21" s="1" t="s">
        <v>194</v>
      </c>
    </row>
    <row r="22" spans="1:5" x14ac:dyDescent="0.25">
      <c r="A22" s="1">
        <v>21</v>
      </c>
      <c r="B22" s="1" t="s">
        <v>24</v>
      </c>
      <c r="C22" s="1" t="s">
        <v>1</v>
      </c>
      <c r="D22" s="1" t="str">
        <f>VLOOKUP([1]datasetSummary!B22,[1]obisUUIDs!$V$2:$Z$387,4,)</f>
        <v>PANGAEA - Data from Global environmental change: the Northern North Atlantic</v>
      </c>
      <c r="E22" s="1" t="s">
        <v>195</v>
      </c>
    </row>
    <row r="23" spans="1:5" x14ac:dyDescent="0.25">
      <c r="A23" s="1">
        <v>22</v>
      </c>
      <c r="B23" s="1" t="s">
        <v>25</v>
      </c>
      <c r="C23" s="1" t="s">
        <v>5</v>
      </c>
      <c r="D23" s="1" t="str">
        <f>VLOOKUP([1]datasetSummary!B23,[1]obisUUIDs!$V$2:$Z$387,4,)</f>
        <v>Sårbar, verdifull og karakteristisk natur i Sognefjorden</v>
      </c>
      <c r="E23" s="1" t="s">
        <v>194</v>
      </c>
    </row>
    <row r="24" spans="1:5" x14ac:dyDescent="0.25">
      <c r="A24" s="1">
        <v>23</v>
      </c>
      <c r="B24" s="1" t="s">
        <v>26</v>
      </c>
      <c r="C24" s="1" t="s">
        <v>1</v>
      </c>
      <c r="D24" s="1" t="str">
        <f>VLOOKUP([1]datasetSummary!B24,[1]obisUUIDs!$V$2:$Z$387,4,)</f>
        <v>Northern shrimp (Pandalus borealis) in the Norwegian Deep and Skagerrak, 1984-2017</v>
      </c>
      <c r="E24" s="1" t="s">
        <v>194</v>
      </c>
    </row>
    <row r="25" spans="1:5" x14ac:dyDescent="0.25">
      <c r="A25" s="1">
        <v>24</v>
      </c>
      <c r="B25" s="1" t="s">
        <v>27</v>
      </c>
      <c r="C25" s="1" t="s">
        <v>5</v>
      </c>
      <c r="D25" s="1" t="str">
        <f>VLOOKUP([1]datasetSummary!B25,[1]obisUUIDs!$V$2:$Z$387,4,)</f>
        <v>aen-jc2-1-mesozooplankton-metadata</v>
      </c>
      <c r="E25" s="1" t="s">
        <v>194</v>
      </c>
    </row>
    <row r="26" spans="1:5" x14ac:dyDescent="0.25">
      <c r="A26" s="1">
        <v>25</v>
      </c>
      <c r="B26" s="1" t="s">
        <v>28</v>
      </c>
      <c r="C26" s="1" t="s">
        <v>5</v>
      </c>
      <c r="D26" s="1" t="str">
        <f>VLOOKUP([1]datasetSummary!B26,[1]obisUUIDs!$V$2:$Z$387,4,)</f>
        <v>Nansen Legacy JC1 phytoplankton biodiversity</v>
      </c>
      <c r="E26" s="1" t="s">
        <v>194</v>
      </c>
    </row>
    <row r="27" spans="1:5" x14ac:dyDescent="0.25">
      <c r="A27" s="1">
        <v>26</v>
      </c>
      <c r="B27" s="1" t="s">
        <v>29</v>
      </c>
      <c r="C27" s="1" t="s">
        <v>5</v>
      </c>
      <c r="D27" s="1" t="str">
        <f>VLOOKUP([1]datasetSummary!B27,[1]obisUUIDs!$V$2:$Z$387,4,)</f>
        <v>(Table 1) Length, weight, fat content and age of Norwegian spring spawning herring (Clupea harengus) during 2007</v>
      </c>
      <c r="E27" s="1" t="s">
        <v>195</v>
      </c>
    </row>
    <row r="28" spans="1:5" x14ac:dyDescent="0.25">
      <c r="A28" s="1">
        <v>27</v>
      </c>
      <c r="B28" s="1" t="s">
        <v>30</v>
      </c>
      <c r="C28" s="1" t="s">
        <v>5</v>
      </c>
      <c r="D28" s="1" t="str">
        <f>VLOOKUP([1]datasetSummary!B28,[1]obisUUIDs!$V$2:$Z$387,4,)</f>
        <v>Foraminiferal assemblages in the Hardangerfjord, western Norway</v>
      </c>
      <c r="E28" s="1" t="s">
        <v>195</v>
      </c>
    </row>
    <row r="29" spans="1:5" x14ac:dyDescent="0.25">
      <c r="A29" s="1">
        <v>28</v>
      </c>
      <c r="B29" s="1" t="s">
        <v>31</v>
      </c>
      <c r="C29" s="1" t="s">
        <v>1</v>
      </c>
      <c r="D29" s="1" t="str">
        <f>VLOOKUP([1]datasetSummary!B29,[1]obisUUIDs!$V$2:$Z$387,4,)</f>
        <v>IMR Macroplankton surveys</v>
      </c>
      <c r="E29" s="1" t="s">
        <v>195</v>
      </c>
    </row>
    <row r="30" spans="1:5" x14ac:dyDescent="0.25">
      <c r="A30" s="1">
        <v>29</v>
      </c>
      <c r="B30" s="1" t="s">
        <v>32</v>
      </c>
      <c r="C30" s="1" t="s">
        <v>5</v>
      </c>
      <c r="D30" s="1" t="str">
        <f>VLOOKUP([1]datasetSummary!B30,[1]obisUUIDs!$V$2:$Z$387,4,)</f>
        <v>Crinoidea distribution data from: Deep-sea fauna of European seas - an annotated species check-list of benthic invertebrates living deeper than 2000 m in the seas bordering Europe</v>
      </c>
      <c r="E30" s="1" t="s">
        <v>195</v>
      </c>
    </row>
    <row r="31" spans="1:5" x14ac:dyDescent="0.25">
      <c r="A31" s="1">
        <v>30</v>
      </c>
      <c r="B31" s="1" t="s">
        <v>33</v>
      </c>
      <c r="C31" s="1" t="s">
        <v>1</v>
      </c>
      <c r="D31" s="1" t="str">
        <f>VLOOKUP([1]datasetSummary!B31,[1]obisUUIDs!$V$2:$Z$387,4,)</f>
        <v>Holothuroidea distribution data from: Deep-sea fauna of European seas - an annotated species check-list of benthic invertebrates living deeper than 2000 m in the seas bordering Europe</v>
      </c>
      <c r="E31" s="1" t="s">
        <v>195</v>
      </c>
    </row>
    <row r="32" spans="1:5" x14ac:dyDescent="0.25">
      <c r="A32" s="1">
        <v>31</v>
      </c>
      <c r="B32" s="1" t="s">
        <v>34</v>
      </c>
      <c r="C32" s="1" t="s">
        <v>5</v>
      </c>
      <c r="D32" s="1" t="str">
        <f>VLOOKUP([1]datasetSummary!B32,[1]obisUUIDs!$V$2:$Z$387,4,)</f>
        <v>North Atlantic and Arctic Cumacea sampled during the IceAGE (2011) and PASCAL (2017) project</v>
      </c>
      <c r="E32" s="1" t="s">
        <v>194</v>
      </c>
    </row>
    <row r="33" spans="1:5" x14ac:dyDescent="0.25">
      <c r="A33" s="1">
        <v>32</v>
      </c>
      <c r="B33" s="1" t="s">
        <v>35</v>
      </c>
      <c r="C33" s="1" t="s">
        <v>5</v>
      </c>
      <c r="D33" s="1" t="str">
        <f>VLOOKUP([1]datasetSummary!B33,[1]obisUUIDs!$V$2:$Z$387,4,)</f>
        <v>Type locality distributions from the World Register of Marine Species</v>
      </c>
      <c r="E33" s="1" t="s">
        <v>195</v>
      </c>
    </row>
    <row r="34" spans="1:5" x14ac:dyDescent="0.25">
      <c r="A34" s="1">
        <v>33</v>
      </c>
      <c r="B34" s="1" t="s">
        <v>36</v>
      </c>
      <c r="C34" s="1" t="s">
        <v>1</v>
      </c>
      <c r="D34" s="1" t="str">
        <f>VLOOKUP([1]datasetSummary!B34,[1]obisUUIDs!$V$2:$Z$387,4,)</f>
        <v>MICROBIS Database (version 1) - European data</v>
      </c>
      <c r="E34" s="1" t="s">
        <v>195</v>
      </c>
    </row>
    <row r="35" spans="1:5" x14ac:dyDescent="0.25">
      <c r="A35" s="1">
        <v>34</v>
      </c>
      <c r="B35" s="1" t="s">
        <v>37</v>
      </c>
      <c r="C35" s="1" t="s">
        <v>1</v>
      </c>
      <c r="D35" s="1" t="str">
        <f>VLOOKUP([1]datasetSummary!B35,[1]obisUUIDs!$V$2:$Z$387,4,)</f>
        <v>Porifera distribution data from: Deep-sea fauna of European seas - an annotated species check-list of benthic invertebrates living deeper than 2000 m in the seas bordering Europe</v>
      </c>
      <c r="E35" s="1" t="s">
        <v>194</v>
      </c>
    </row>
    <row r="36" spans="1:5" x14ac:dyDescent="0.25">
      <c r="A36" s="1">
        <v>35</v>
      </c>
      <c r="B36" s="2" t="s">
        <v>38</v>
      </c>
      <c r="C36" s="1" t="s">
        <v>5</v>
      </c>
      <c r="D36" s="1" t="str">
        <f>VLOOKUP([1]datasetSummary!B36,[1]obisUUIDs!$V$2:$Z$387,4,)</f>
        <v>artsprosjektet_53-14_copclad</v>
      </c>
      <c r="E36" s="1" t="s">
        <v>194</v>
      </c>
    </row>
    <row r="37" spans="1:5" x14ac:dyDescent="0.25">
      <c r="A37" s="1">
        <v>36</v>
      </c>
      <c r="B37" s="1" t="s">
        <v>39</v>
      </c>
      <c r="C37" s="1" t="s">
        <v>5</v>
      </c>
      <c r="D37" s="1" t="str">
        <f>VLOOKUP([1]datasetSummary!B37,[1]obisUUIDs!$V$2:$Z$387,4,)</f>
        <v>European Seabirds At Sea (ESAS)</v>
      </c>
      <c r="E37" s="1" t="s">
        <v>195</v>
      </c>
    </row>
    <row r="38" spans="1:5" x14ac:dyDescent="0.25">
      <c r="A38" s="1">
        <v>37</v>
      </c>
      <c r="B38" s="1" t="s">
        <v>40</v>
      </c>
      <c r="C38" s="1" t="s">
        <v>5</v>
      </c>
      <c r="D38" s="1" t="str">
        <f>VLOOKUP([1]datasetSummary!B38,[1]obisUUIDs!$V$2:$Z$387,4,)</f>
        <v>Fatty acids in zooplankton Nansen Legacy Q3</v>
      </c>
      <c r="E38" s="1" t="s">
        <v>194</v>
      </c>
    </row>
    <row r="39" spans="1:5" x14ac:dyDescent="0.25">
      <c r="A39" s="1">
        <v>38</v>
      </c>
      <c r="B39" s="1" t="s">
        <v>41</v>
      </c>
      <c r="C39" s="1" t="s">
        <v>5</v>
      </c>
      <c r="D39" s="1" t="str">
        <f>VLOOKUP([1]datasetSummary!B39,[1]obisUUIDs!$V$2:$Z$387,4,)</f>
        <v>Deep-sea megabenthos of the Eurasian Central Arctic based on image analysis.</v>
      </c>
      <c r="E39" s="1" t="s">
        <v>194</v>
      </c>
    </row>
    <row r="40" spans="1:5" x14ac:dyDescent="0.25">
      <c r="A40" s="1">
        <v>39</v>
      </c>
      <c r="B40" s="1" t="s">
        <v>42</v>
      </c>
      <c r="C40" s="1" t="s">
        <v>1</v>
      </c>
      <c r="D40" s="1" t="str">
        <f>VLOOKUP([1]datasetSummary!B40,[1]obisUUIDs!$V$2:$Z$387,4,)</f>
        <v>Benthic Isopoda of the Aegir Ridge (Norwegian Sea) collected during the IceAGE3 (SO276 MerMet17-06) expedition in summer 2020</v>
      </c>
      <c r="E40" s="1" t="s">
        <v>194</v>
      </c>
    </row>
    <row r="41" spans="1:5" x14ac:dyDescent="0.25">
      <c r="A41" s="1">
        <v>40</v>
      </c>
      <c r="B41" s="1" t="s">
        <v>43</v>
      </c>
      <c r="C41" s="1" t="s">
        <v>5</v>
      </c>
      <c r="D41" s="1" t="str">
        <f>VLOOKUP([1]datasetSummary!B41,[1]obisUUIDs!$V$2:$Z$387,4,)</f>
        <v>eDNA_Subseafloor</v>
      </c>
      <c r="E41" s="1" t="s">
        <v>194</v>
      </c>
    </row>
    <row r="42" spans="1:5" x14ac:dyDescent="0.25">
      <c r="A42" s="1">
        <v>41</v>
      </c>
      <c r="B42" s="2" t="s">
        <v>44</v>
      </c>
      <c r="C42" s="1" t="s">
        <v>5</v>
      </c>
      <c r="D42" s="1" t="str">
        <f>VLOOKUP([1]datasetSummary!B42,[1]obisUUIDs!$V$2:$Z$387,4,)</f>
        <v>Eukaryotes detected in marine water (collected August 2023) from the North Atlantic by the MSC Poesia cruise ship; inferred from 18S DNA metabarcoding data.</v>
      </c>
      <c r="E42" s="1" t="s">
        <v>194</v>
      </c>
    </row>
    <row r="43" spans="1:5" x14ac:dyDescent="0.25">
      <c r="A43" s="1">
        <v>42</v>
      </c>
      <c r="B43" s="1" t="s">
        <v>45</v>
      </c>
      <c r="C43" s="1" t="s">
        <v>5</v>
      </c>
      <c r="D43" s="1" t="str">
        <f>VLOOKUP([1]datasetSummary!B43,[1]obisUUIDs!$V$2:$Z$387,4,)</f>
        <v>Distribution of planktic foraminifera and stable istopes of sediment core MSM05/5_712-2</v>
      </c>
      <c r="E43" s="1" t="s">
        <v>195</v>
      </c>
    </row>
    <row r="44" spans="1:5" x14ac:dyDescent="0.25">
      <c r="A44" s="1">
        <v>43</v>
      </c>
      <c r="B44" s="1" t="s">
        <v>46</v>
      </c>
      <c r="C44" s="1" t="s">
        <v>5</v>
      </c>
      <c r="D44" s="1" t="str">
        <f>VLOOKUP([1]datasetSummary!B44,[1]obisUUIDs!$V$2:$Z$387,4,)</f>
        <v>Megafauna at the Haakon Mosby mud volcano (the Barents Sea) based on image analysis.</v>
      </c>
      <c r="E44" s="1" t="s">
        <v>194</v>
      </c>
    </row>
    <row r="45" spans="1:5" x14ac:dyDescent="0.25">
      <c r="A45" s="1">
        <v>44</v>
      </c>
      <c r="B45" s="1" t="s">
        <v>47</v>
      </c>
      <c r="C45" s="1" t="s">
        <v>5</v>
      </c>
      <c r="D45" s="1" t="str">
        <f>VLOOKUP([1]datasetSummary!B45,[1]obisUUIDs!$V$2:$Z$387,4,)</f>
        <v>Arctic Species Trend Index (ASTI) : Marine</v>
      </c>
      <c r="E45" s="1" t="s">
        <v>195</v>
      </c>
    </row>
    <row r="46" spans="1:5" x14ac:dyDescent="0.25">
      <c r="A46" s="1">
        <v>45</v>
      </c>
      <c r="B46" s="1" t="s">
        <v>48</v>
      </c>
      <c r="C46" s="1" t="s">
        <v>5</v>
      </c>
      <c r="D46" s="1" t="str">
        <f>VLOOKUP([1]datasetSummary!B46,[1]obisUUIDs!$V$2:$Z$387,4,)</f>
        <v>Taxonomy and distribution of Pectinariidae (Annelida) from Iceland with a comparative analysis of uncinal morphology</v>
      </c>
      <c r="E46" s="1" t="s">
        <v>194</v>
      </c>
    </row>
    <row r="47" spans="1:5" x14ac:dyDescent="0.25">
      <c r="A47" s="1">
        <v>46</v>
      </c>
      <c r="B47" s="1" t="s">
        <v>49</v>
      </c>
      <c r="C47" s="1" t="s">
        <v>5</v>
      </c>
      <c r="D47" s="1" t="str">
        <f>VLOOKUP([1]datasetSummary!B47,[1]obisUUIDs!$V$2:$Z$387,4,)</f>
        <v>aen-q3-mesozooplankton biodiversity</v>
      </c>
      <c r="E47" s="1" t="s">
        <v>194</v>
      </c>
    </row>
    <row r="48" spans="1:5" x14ac:dyDescent="0.25">
      <c r="A48" s="1">
        <v>47</v>
      </c>
      <c r="B48" s="1" t="s">
        <v>50</v>
      </c>
      <c r="C48" s="1" t="s">
        <v>5</v>
      </c>
      <c r="D48" s="1" t="str">
        <f>VLOOKUP([1]datasetSummary!B48,[1]obisUUIDs!$V$2:$Z$387,4,)</f>
        <v>Norwegian Biodiversity Information Centre - Other datasets</v>
      </c>
      <c r="E48" s="1" t="s">
        <v>195</v>
      </c>
    </row>
    <row r="49" spans="1:5" x14ac:dyDescent="0.25">
      <c r="A49" s="1">
        <v>48</v>
      </c>
      <c r="B49" s="1" t="s">
        <v>51</v>
      </c>
      <c r="C49" s="1" t="s">
        <v>5</v>
      </c>
      <c r="D49" s="1" t="str">
        <f>VLOOKUP([1]datasetSummary!B49,[1]obisUUIDs!$V$2:$Z$387,4,)</f>
        <v>Museum of Comparative Zoology, Harvard University</v>
      </c>
      <c r="E49" s="1" t="s">
        <v>195</v>
      </c>
    </row>
    <row r="50" spans="1:5" x14ac:dyDescent="0.25">
      <c r="A50" s="1">
        <v>49</v>
      </c>
      <c r="B50" s="1" t="s">
        <v>52</v>
      </c>
      <c r="C50" s="1" t="s">
        <v>5</v>
      </c>
      <c r="D50" s="1" t="str">
        <f>VLOOKUP([1]datasetSummary!B50,[1]obisUUIDs!$V$2:$Z$387,4,)</f>
        <v>NIWA Invertebrate Collection</v>
      </c>
      <c r="E50" s="1" t="s">
        <v>195</v>
      </c>
    </row>
    <row r="51" spans="1:5" x14ac:dyDescent="0.25">
      <c r="A51" s="1">
        <v>50</v>
      </c>
      <c r="B51" s="1" t="s">
        <v>53</v>
      </c>
      <c r="C51" s="1" t="s">
        <v>5</v>
      </c>
      <c r="D51" s="1" t="str">
        <f>VLOOKUP([1]datasetSummary!B51,[1]obisUUIDs!$V$2:$Z$387,4,)</f>
        <v>Eukaryotes detected in marine water (collected July 2023) from the North Atlantic by the MSC Poesia cruise ship; inferred from 18S DNA metabarcoding data.</v>
      </c>
      <c r="E51" s="1" t="s">
        <v>194</v>
      </c>
    </row>
    <row r="52" spans="1:5" x14ac:dyDescent="0.25">
      <c r="A52" s="1">
        <v>51</v>
      </c>
      <c r="B52" s="1" t="s">
        <v>54</v>
      </c>
      <c r="C52" s="1" t="s">
        <v>1</v>
      </c>
      <c r="D52" s="1" t="str">
        <f>VLOOKUP([1]datasetSummary!B52,[1]obisUUIDs!$V$2:$Z$387,4,)</f>
        <v>Working Group on North Sea Cod and Plaice Egg Surveys</v>
      </c>
      <c r="E52" s="1" t="s">
        <v>195</v>
      </c>
    </row>
    <row r="53" spans="1:5" x14ac:dyDescent="0.25">
      <c r="A53" s="1">
        <v>52</v>
      </c>
      <c r="B53" s="1" t="s">
        <v>55</v>
      </c>
      <c r="C53" s="1" t="s">
        <v>5</v>
      </c>
      <c r="D53" s="1" t="str">
        <f>VLOOKUP([1]datasetSummary!B53,[1]obisUUIDs!$V$2:$Z$387,4,)</f>
        <v>Microbial eukaryotes in an Arctic under-ice spring bloom north of Svalbard.</v>
      </c>
      <c r="E53" s="1" t="s">
        <v>194</v>
      </c>
    </row>
    <row r="54" spans="1:5" x14ac:dyDescent="0.25">
      <c r="A54" s="1">
        <v>53</v>
      </c>
      <c r="B54" s="1" t="s">
        <v>56</v>
      </c>
      <c r="C54" s="1" t="s">
        <v>5</v>
      </c>
      <c r="D54" s="1" t="str">
        <f>VLOOKUP([1]datasetSummary!B54,[1]obisUUIDs!$V$2:$Z$387,4,)</f>
        <v>iNaturalist Research-grade Observations</v>
      </c>
      <c r="E54" s="1" t="s">
        <v>195</v>
      </c>
    </row>
    <row r="55" spans="1:5" x14ac:dyDescent="0.25">
      <c r="A55" s="1">
        <v>54</v>
      </c>
      <c r="B55" s="1" t="s">
        <v>57</v>
      </c>
      <c r="C55" s="1" t="s">
        <v>1</v>
      </c>
      <c r="D55" s="1" t="str">
        <f>VLOOKUP([1]datasetSummary!B55,[1]obisUUIDs!$V$2:$Z$387,4,)</f>
        <v>Mackerel and Horse Mackerel Eggs Survey</v>
      </c>
      <c r="E55" s="1" t="s">
        <v>195</v>
      </c>
    </row>
    <row r="56" spans="1:5" x14ac:dyDescent="0.25">
      <c r="A56" s="1">
        <v>55</v>
      </c>
      <c r="B56" s="1" t="s">
        <v>58</v>
      </c>
      <c r="C56" s="1" t="s">
        <v>5</v>
      </c>
      <c r="D56" s="1" t="str">
        <f>VLOOKUP([1]datasetSummary!B56,[1]obisUUIDs!$V$2:$Z$387,4,)</f>
        <v>(Table 1) Foraminifera abundance of ODP Hole 162-985A sediments</v>
      </c>
      <c r="E56" s="1" t="s">
        <v>195</v>
      </c>
    </row>
    <row r="57" spans="1:5" x14ac:dyDescent="0.25">
      <c r="A57" s="1">
        <v>56</v>
      </c>
      <c r="B57" s="1" t="s">
        <v>59</v>
      </c>
      <c r="C57" s="1" t="s">
        <v>1</v>
      </c>
      <c r="D57" s="1" t="str">
        <f>VLOOKUP([1]datasetSummary!B57,[1]obisUUIDs!$V$2:$Z$387,4,)</f>
        <v>IMR Zooplankton Norwegian Sea</v>
      </c>
      <c r="E57" s="1" t="s">
        <v>194</v>
      </c>
    </row>
    <row r="58" spans="1:5" x14ac:dyDescent="0.25">
      <c r="A58" s="1">
        <v>57</v>
      </c>
      <c r="B58" s="1" t="s">
        <v>60</v>
      </c>
      <c r="C58" s="1" t="s">
        <v>1</v>
      </c>
      <c r="D58" s="1" t="str">
        <f>VLOOKUP([1]datasetSummary!B58,[1]obisUUIDs!$V$2:$Z$387,4,)</f>
        <v>PANGAEA - Data from Leibniz Institute of Marine Sciences</v>
      </c>
      <c r="E58" s="1" t="s">
        <v>195</v>
      </c>
    </row>
    <row r="59" spans="1:5" x14ac:dyDescent="0.25">
      <c r="A59" s="1">
        <v>58</v>
      </c>
      <c r="B59" s="1" t="s">
        <v>61</v>
      </c>
      <c r="C59" s="1" t="s">
        <v>5</v>
      </c>
      <c r="D59" s="1" t="str">
        <f>VLOOKUP([1]datasetSummary!B59,[1]obisUUIDs!$V$2:$Z$387,4,)</f>
        <v>Invertebrates Collection of the Swedish Museum of Natural History</v>
      </c>
      <c r="E59" s="1" t="s">
        <v>195</v>
      </c>
    </row>
    <row r="60" spans="1:5" x14ac:dyDescent="0.25">
      <c r="A60" s="1">
        <v>59</v>
      </c>
      <c r="B60" s="1" t="s">
        <v>62</v>
      </c>
      <c r="C60" s="1" t="s">
        <v>5</v>
      </c>
      <c r="D60" s="1" t="str">
        <f>VLOOKUP([1]datasetSummary!B60,[1]obisUUIDs!$V$2:$Z$387,4,)</f>
        <v>NHMD Invertebrate Zoology Collection</v>
      </c>
      <c r="E60" s="1" t="s">
        <v>195</v>
      </c>
    </row>
    <row r="61" spans="1:5" x14ac:dyDescent="0.25">
      <c r="A61" s="1">
        <v>60</v>
      </c>
      <c r="B61" s="1" t="s">
        <v>63</v>
      </c>
      <c r="C61" s="1" t="s">
        <v>5</v>
      </c>
      <c r="D61" s="1" t="str">
        <f>VLOOKUP([1]datasetSummary!B61,[1]obisUUIDs!$V$2:$Z$387,4,)</f>
        <v>Downward flux of phytoplankton cells in East Greenland fjords, August 2022</v>
      </c>
      <c r="E61" s="1" t="s">
        <v>194</v>
      </c>
    </row>
    <row r="62" spans="1:5" x14ac:dyDescent="0.25">
      <c r="A62" s="1">
        <v>61</v>
      </c>
      <c r="B62" s="1" t="s">
        <v>64</v>
      </c>
      <c r="C62" s="1" t="s">
        <v>1</v>
      </c>
      <c r="D62" s="1" t="str">
        <f>VLOOKUP([1]datasetSummary!B62,[1]obisUUIDs!$V$2:$Z$387,4,)</f>
        <v>Lophelia pertusa reefs in Norwegian seawaters</v>
      </c>
      <c r="E62" s="1" t="s">
        <v>195</v>
      </c>
    </row>
    <row r="63" spans="1:5" x14ac:dyDescent="0.25">
      <c r="A63" s="1">
        <v>62</v>
      </c>
      <c r="B63" s="1" t="s">
        <v>65</v>
      </c>
      <c r="C63" s="1" t="s">
        <v>5</v>
      </c>
      <c r="D63" s="1" t="str">
        <f>VLOOKUP([1]datasetSummary!B63,[1]obisUUIDs!$V$2:$Z$387,4,)</f>
        <v>SCAR Biogeographic Atlas of the Southern Ocean - Tanaidacea - Data</v>
      </c>
      <c r="E63" s="1" t="s">
        <v>194</v>
      </c>
    </row>
    <row r="64" spans="1:5" x14ac:dyDescent="0.25">
      <c r="A64" s="1">
        <v>63</v>
      </c>
      <c r="B64" s="1" t="s">
        <v>66</v>
      </c>
      <c r="C64" s="1" t="s">
        <v>5</v>
      </c>
      <c r="D64" s="1" t="str">
        <f>VLOOKUP([1]datasetSummary!B64,[1]obisUUIDs!$V$2:$Z$387,4,)</f>
        <v>Sedimentology and stratigraphy of core OD96_41:4:1</v>
      </c>
      <c r="E64" s="1" t="s">
        <v>195</v>
      </c>
    </row>
    <row r="65" spans="1:5" x14ac:dyDescent="0.25">
      <c r="A65" s="1">
        <v>64</v>
      </c>
      <c r="B65" s="1" t="s">
        <v>67</v>
      </c>
      <c r="C65" s="1" t="s">
        <v>1</v>
      </c>
      <c r="D65" s="1" t="str">
        <f>VLOOKUP([1]datasetSummary!B65,[1]obisUUIDs!$V$2:$Z$387,4,)</f>
        <v>ICES Eggs and larvae</v>
      </c>
      <c r="E65" s="1" t="s">
        <v>195</v>
      </c>
    </row>
    <row r="66" spans="1:5" x14ac:dyDescent="0.25">
      <c r="A66" s="1">
        <v>65</v>
      </c>
      <c r="B66" s="1" t="s">
        <v>68</v>
      </c>
      <c r="C66" s="1" t="s">
        <v>5</v>
      </c>
      <c r="D66" s="1" t="str">
        <f>VLOOKUP([1]datasetSummary!B66,[1]obisUUIDs!$V$2:$Z$387,4,)</f>
        <v>Marine invertebrates registered on the Nansen Legacy JC3 Winter Gaps cruise 19th February - 11th March 2022</v>
      </c>
      <c r="E66" s="1" t="s">
        <v>194</v>
      </c>
    </row>
    <row r="67" spans="1:5" x14ac:dyDescent="0.25">
      <c r="A67" s="1">
        <v>66</v>
      </c>
      <c r="B67" s="1" t="s">
        <v>69</v>
      </c>
      <c r="C67" s="1" t="s">
        <v>5</v>
      </c>
      <c r="D67" s="1" t="str">
        <f>VLOOKUP([1]datasetSummary!B67,[1]obisUUIDs!$V$2:$Z$387,4,)</f>
        <v>New and little known species of Lepechinella (Crustacea, Amphipoda, Lepechinellidae) and an allied new genus Lepesubchela from the North Atlantic</v>
      </c>
      <c r="E67" s="1" t="s">
        <v>195</v>
      </c>
    </row>
    <row r="68" spans="1:5" x14ac:dyDescent="0.25">
      <c r="A68" s="1">
        <v>67</v>
      </c>
      <c r="B68" s="1" t="s">
        <v>70</v>
      </c>
      <c r="C68" s="1" t="s">
        <v>5</v>
      </c>
      <c r="D68" s="1" t="str">
        <f>VLOOKUP([1]datasetSummary!B68,[1]obisUUIDs!$V$2:$Z$387,4,)</f>
        <v>Nansen Legacy Q2 ice algae biodiversity</v>
      </c>
      <c r="E68" s="1" t="s">
        <v>194</v>
      </c>
    </row>
    <row r="69" spans="1:5" x14ac:dyDescent="0.25">
      <c r="A69" s="3">
        <v>68</v>
      </c>
      <c r="B69" s="3" t="s">
        <v>71</v>
      </c>
      <c r="C69" s="3" t="s">
        <v>5</v>
      </c>
      <c r="D69" s="3" t="str">
        <f>VLOOKUP([1]datasetSummary!B69,[1]obisUUIDs!$V$2:$Z$387,4,)</f>
        <v>aen-q2-phytoplankton</v>
      </c>
      <c r="E69" s="1" t="s">
        <v>194</v>
      </c>
    </row>
    <row r="70" spans="1:5" x14ac:dyDescent="0.25">
      <c r="A70" s="3">
        <v>69</v>
      </c>
      <c r="B70" s="3" t="s">
        <v>72</v>
      </c>
      <c r="C70" s="3" t="s">
        <v>1</v>
      </c>
      <c r="D70" s="3" t="str">
        <f>VLOOKUP([1]datasetSummary!B70,[1]obisUUIDs!$V$2:$Z$387,4,)</f>
        <v>The fishes collection (IC) of the Muséum national d'Histoire naturelle (MNHN - Paris)</v>
      </c>
      <c r="E70" s="1" t="s">
        <v>195</v>
      </c>
    </row>
    <row r="71" spans="1:5" x14ac:dyDescent="0.25">
      <c r="A71" s="3">
        <v>70</v>
      </c>
      <c r="B71" s="3" t="s">
        <v>73</v>
      </c>
      <c r="C71" s="3" t="s">
        <v>5</v>
      </c>
      <c r="D71" s="3" t="str">
        <f>VLOOKUP([1]datasetSummary!B71,[1]obisUUIDs!$V$2:$Z$387,4,)</f>
        <v>(Table 4) Carbon flux, paleoproductivity, relative abundance of foraminifera on sediment core PS2837-6</v>
      </c>
      <c r="E71" s="1" t="s">
        <v>195</v>
      </c>
    </row>
    <row r="72" spans="1:5" x14ac:dyDescent="0.25">
      <c r="A72" s="3">
        <v>71</v>
      </c>
      <c r="B72" s="3" t="s">
        <v>74</v>
      </c>
      <c r="C72" s="3" t="s">
        <v>1</v>
      </c>
      <c r="D72" s="3" t="str">
        <f>VLOOKUP([1]datasetSummary!B72,[1]obisUUIDs!$V$2:$Z$387,4,)</f>
        <v>North Atlantic and Arctic Isopoda sampled during the BIOICE project</v>
      </c>
      <c r="E72" s="1" t="s">
        <v>194</v>
      </c>
    </row>
    <row r="73" spans="1:5" x14ac:dyDescent="0.25">
      <c r="A73" s="3">
        <v>72</v>
      </c>
      <c r="B73" s="3" t="s">
        <v>75</v>
      </c>
      <c r="C73" s="3" t="s">
        <v>5</v>
      </c>
      <c r="D73" s="3" t="str">
        <f>VLOOKUP([1]datasetSummary!B73,[1]obisUUIDs!$V$2:$Z$387,4,)</f>
        <v>IPOE_Schnack_Polychaeta</v>
      </c>
      <c r="E73" s="1" t="s">
        <v>194</v>
      </c>
    </row>
    <row r="74" spans="1:5" x14ac:dyDescent="0.25">
      <c r="A74" s="3">
        <v>73</v>
      </c>
      <c r="B74" s="3" t="s">
        <v>76</v>
      </c>
      <c r="C74" s="3" t="s">
        <v>5</v>
      </c>
      <c r="D74" s="3" t="str">
        <f>VLOOKUP([1]datasetSummary!B74,[1]obisUUIDs!$V$2:$Z$387,4,)</f>
        <v>Echinodermata (TSZE) The Arctic University Museum of Norway</v>
      </c>
      <c r="E74" s="1" t="s">
        <v>195</v>
      </c>
    </row>
    <row r="75" spans="1:5" x14ac:dyDescent="0.25">
      <c r="A75" s="3">
        <v>74</v>
      </c>
      <c r="B75" s="3" t="s">
        <v>77</v>
      </c>
      <c r="C75" s="3" t="s">
        <v>5</v>
      </c>
      <c r="D75" s="3" t="str">
        <f>VLOOKUP([1]datasetSummary!B75,[1]obisUUIDs!$V$2:$Z$387,4,)</f>
        <v>Nansen Legacy JC1 mesozooplankton biodiversity</v>
      </c>
      <c r="E75" s="1" t="s">
        <v>194</v>
      </c>
    </row>
    <row r="76" spans="1:5" x14ac:dyDescent="0.25">
      <c r="A76" s="3">
        <v>75</v>
      </c>
      <c r="B76" s="3" t="s">
        <v>78</v>
      </c>
      <c r="C76" s="3" t="s">
        <v>5</v>
      </c>
      <c r="D76" s="3" t="str">
        <f>VLOOKUP([1]datasetSummary!B76,[1]obisUUIDs!$V$2:$Z$387,4,)</f>
        <v>Shotgun Metagenomic Sequencing of the Arctic Ocean during Winter-Spring Transition</v>
      </c>
      <c r="E76" s="1" t="s">
        <v>195</v>
      </c>
    </row>
    <row r="77" spans="1:5" x14ac:dyDescent="0.25">
      <c r="A77" s="3">
        <v>76</v>
      </c>
      <c r="B77" s="3" t="s">
        <v>79</v>
      </c>
      <c r="C77" s="3" t="s">
        <v>5</v>
      </c>
      <c r="D77" s="3" t="str">
        <f>VLOOKUP([1]datasetSummary!B77,[1]obisUUIDs!$V$2:$Z$387,4,)</f>
        <v>Trawl catch data from Nansen Legacy Cruise - Arctic Basin Joint Cruise 2-2</v>
      </c>
      <c r="E77" s="1" t="s">
        <v>194</v>
      </c>
    </row>
    <row r="78" spans="1:5" x14ac:dyDescent="0.25">
      <c r="A78" s="3">
        <v>77</v>
      </c>
      <c r="B78" s="3" t="s">
        <v>80</v>
      </c>
      <c r="C78" s="3" t="s">
        <v>5</v>
      </c>
      <c r="D78" s="3" t="str">
        <f>VLOOKUP([1]datasetSummary!B78,[1]obisUUIDs!$V$2:$Z$387,4,)</f>
        <v>RBINS Brachiopoda collection</v>
      </c>
      <c r="E78" s="1" t="s">
        <v>195</v>
      </c>
    </row>
    <row r="79" spans="1:5" x14ac:dyDescent="0.25">
      <c r="A79" s="3">
        <v>78</v>
      </c>
      <c r="B79" s="3" t="s">
        <v>81</v>
      </c>
      <c r="C79" s="3" t="s">
        <v>5</v>
      </c>
      <c r="D79" s="3" t="str">
        <f>VLOOKUP([1]datasetSummary!B79,[1]obisUUIDs!$V$2:$Z$387,4,)</f>
        <v>Arctic microbiome along Svalbard Cross Shelf transects</v>
      </c>
      <c r="E79" s="1" t="s">
        <v>194</v>
      </c>
    </row>
    <row r="80" spans="1:5" x14ac:dyDescent="0.25">
      <c r="A80" s="1">
        <v>79</v>
      </c>
      <c r="B80" s="1" t="s">
        <v>82</v>
      </c>
      <c r="C80" s="1" t="s">
        <v>5</v>
      </c>
      <c r="D80" s="1" t="str">
        <f>VLOOKUP([1]datasetSummary!B80,[1]obisUUIDs!$V$2:$Z$387,4,)</f>
        <v>Gastropoda collection (TSZG) The Arctic University Museum of Norway</v>
      </c>
      <c r="E80" s="1" t="s">
        <v>195</v>
      </c>
    </row>
    <row r="81" spans="1:5" x14ac:dyDescent="0.25">
      <c r="A81" s="1">
        <v>80</v>
      </c>
      <c r="B81" s="2" t="s">
        <v>83</v>
      </c>
      <c r="C81" s="1" t="s">
        <v>5</v>
      </c>
      <c r="D81" s="1" t="str">
        <f>VLOOKUP([1]datasetSummary!B81,[1]obisUUIDs!$V$2:$Z$387,4,)</f>
        <v>Natural History Museum (London) Collection Specimens</v>
      </c>
      <c r="E81" s="1" t="s">
        <v>195</v>
      </c>
    </row>
    <row r="82" spans="1:5" x14ac:dyDescent="0.25">
      <c r="A82" s="1">
        <v>81</v>
      </c>
      <c r="B82" s="1" t="s">
        <v>84</v>
      </c>
      <c r="C82" s="1" t="s">
        <v>5</v>
      </c>
      <c r="D82" s="1" t="str">
        <f>VLOOKUP([1]datasetSummary!B82,[1]obisUUIDs!$V$2:$Z$387,4,)</f>
        <v>Distribution of planktic foraminifera and calculated sea surface temperature of sediment core MSM05/5_712-1</v>
      </c>
      <c r="E82" s="1" t="s">
        <v>195</v>
      </c>
    </row>
    <row r="83" spans="1:5" x14ac:dyDescent="0.25">
      <c r="A83" s="1">
        <v>82</v>
      </c>
      <c r="B83" s="1" t="s">
        <v>85</v>
      </c>
      <c r="C83" s="1" t="s">
        <v>5</v>
      </c>
      <c r="D83" s="1" t="str">
        <f>VLOOKUP([1]datasetSummary!B83,[1]obisUUIDs!$V$2:$Z$387,4,)</f>
        <v>HBIs and sterols in zooplankton Nansen Legacy Q3</v>
      </c>
      <c r="E83" s="1" t="s">
        <v>194</v>
      </c>
    </row>
    <row r="84" spans="1:5" x14ac:dyDescent="0.25">
      <c r="A84" s="1">
        <v>83</v>
      </c>
      <c r="B84" s="1" t="s">
        <v>86</v>
      </c>
      <c r="C84" s="1" t="s">
        <v>1</v>
      </c>
      <c r="D84" s="1" t="str">
        <f>VLOOKUP([1]datasetSummary!B84,[1]obisUUIDs!$V$2:$Z$387,4,)</f>
        <v>World Ocean Database 2009</v>
      </c>
      <c r="E84" s="1" t="s">
        <v>194</v>
      </c>
    </row>
    <row r="85" spans="1:5" x14ac:dyDescent="0.25">
      <c r="A85" s="1">
        <v>84</v>
      </c>
      <c r="B85" s="1" t="s">
        <v>87</v>
      </c>
      <c r="C85" s="1" t="s">
        <v>5</v>
      </c>
      <c r="D85" s="1" t="str">
        <f>VLOOKUP([1]datasetSummary!B85,[1]obisUUIDs!$V$2:$Z$387,4,)</f>
        <v>RBINS DaRWIN</v>
      </c>
      <c r="E85" s="1" t="s">
        <v>195</v>
      </c>
    </row>
    <row r="86" spans="1:5" x14ac:dyDescent="0.25">
      <c r="A86" s="1">
        <v>85</v>
      </c>
      <c r="B86" s="1" t="s">
        <v>88</v>
      </c>
      <c r="C86" s="1" t="s">
        <v>5</v>
      </c>
      <c r="D86" s="1" t="str">
        <f>VLOOKUP([1]datasetSummary!B86,[1]obisUUIDs!$V$2:$Z$387,4,)</f>
        <v>Variability of benthic Foraminifera north and south of the Denmark Strait</v>
      </c>
      <c r="E86" s="1" t="s">
        <v>195</v>
      </c>
    </row>
    <row r="87" spans="1:5" x14ac:dyDescent="0.25">
      <c r="A87" s="1">
        <v>86</v>
      </c>
      <c r="B87" s="1" t="s">
        <v>89</v>
      </c>
      <c r="C87" s="1" t="s">
        <v>5</v>
      </c>
      <c r="D87" s="1" t="str">
        <f>VLOOKUP([1]datasetSummary!B87,[1]obisUUIDs!$V$2:$Z$387,4,)</f>
        <v>Echinoidea distribution data from: Deep-sea fauna of European seas - an annotated species check-list of benthic invertebrates living deeper than 2000 m in the seas bordering Europe</v>
      </c>
      <c r="E87" s="1" t="s">
        <v>195</v>
      </c>
    </row>
    <row r="88" spans="1:5" x14ac:dyDescent="0.25">
      <c r="A88" s="1">
        <v>87</v>
      </c>
      <c r="B88" s="1" t="s">
        <v>90</v>
      </c>
      <c r="C88" s="1" t="s">
        <v>5</v>
      </c>
      <c r="D88" s="1" t="str">
        <f>VLOOKUP([1]datasetSummary!B88,[1]obisUUIDs!$V$2:$Z$387,4,)</f>
        <v>Arctic Ocean Diversity</v>
      </c>
      <c r="E88" s="1" t="s">
        <v>195</v>
      </c>
    </row>
    <row r="89" spans="1:5" x14ac:dyDescent="0.25">
      <c r="A89" s="1">
        <v>88</v>
      </c>
      <c r="B89" s="1" t="s">
        <v>91</v>
      </c>
      <c r="C89" s="1" t="s">
        <v>5</v>
      </c>
      <c r="D89" s="1" t="str">
        <f>VLOOKUP([1]datasetSummary!B89,[1]obisUUIDs!$V$2:$Z$387,4,)</f>
        <v>National fish tag database</v>
      </c>
      <c r="E89" s="1" t="s">
        <v>195</v>
      </c>
    </row>
    <row r="90" spans="1:5" x14ac:dyDescent="0.25">
      <c r="A90" s="1">
        <v>89</v>
      </c>
      <c r="B90" s="1" t="s">
        <v>92</v>
      </c>
      <c r="C90" s="1" t="s">
        <v>5</v>
      </c>
      <c r="D90" s="1" t="str">
        <f>VLOOKUP([1]datasetSummary!B90,[1]obisUUIDs!$V$2:$Z$387,4,)</f>
        <v>NHMD Ichthyology Collection</v>
      </c>
      <c r="E90" s="1" t="s">
        <v>195</v>
      </c>
    </row>
    <row r="91" spans="1:5" x14ac:dyDescent="0.25">
      <c r="A91" s="1">
        <v>90</v>
      </c>
      <c r="B91" s="1" t="s">
        <v>93</v>
      </c>
      <c r="C91" s="1" t="s">
        <v>5</v>
      </c>
      <c r="D91" s="1" t="str">
        <f>VLOOKUP([1]datasetSummary!B91,[1]obisUUIDs!$V$2:$Z$387,4,)</f>
        <v>artsprosjektet_46-15_noramph</v>
      </c>
      <c r="E91" s="1" t="s">
        <v>195</v>
      </c>
    </row>
    <row r="92" spans="1:5" x14ac:dyDescent="0.25">
      <c r="A92" s="1">
        <v>91</v>
      </c>
      <c r="B92" s="1" t="s">
        <v>94</v>
      </c>
      <c r="C92" s="1" t="s">
        <v>1</v>
      </c>
      <c r="D92" s="1" t="s">
        <v>95</v>
      </c>
      <c r="E92" s="1" t="s">
        <v>195</v>
      </c>
    </row>
    <row r="93" spans="1:5" x14ac:dyDescent="0.25">
      <c r="A93" s="1">
        <v>94</v>
      </c>
      <c r="B93" s="1" t="s">
        <v>96</v>
      </c>
      <c r="C93" s="1" t="s">
        <v>5</v>
      </c>
      <c r="D93" s="1" t="str">
        <f>VLOOKUP([1]datasetSummary!B93,[1]obisUUIDs!$V$2:$Z$387,4,)</f>
        <v>Distribution of planktonic foraminifera in water profiles from the North Atlantic Ocean</v>
      </c>
      <c r="E93" s="1" t="s">
        <v>195</v>
      </c>
    </row>
    <row r="94" spans="1:5" x14ac:dyDescent="0.25">
      <c r="A94" s="1">
        <v>95</v>
      </c>
      <c r="B94" s="1" t="s">
        <v>97</v>
      </c>
      <c r="C94" s="1" t="s">
        <v>5</v>
      </c>
      <c r="D94" s="1" t="str">
        <f>VLOOKUP([1]datasetSummary!B94,[1]obisUUIDs!$V$2:$Z$387,4,)</f>
        <v>(Fig. 5) Sea-surface temperature reconstructions of sediment core MD99-2304</v>
      </c>
      <c r="E94" s="1" t="s">
        <v>195</v>
      </c>
    </row>
    <row r="95" spans="1:5" x14ac:dyDescent="0.25">
      <c r="A95" s="1">
        <v>96</v>
      </c>
      <c r="B95" s="1" t="s">
        <v>98</v>
      </c>
      <c r="C95" s="1" t="s">
        <v>1</v>
      </c>
      <c r="D95" s="1" t="str">
        <f>VLOOKUP([1]datasetSummary!B95,[1]obisUUIDs!$V$2:$Z$387,4,)</f>
        <v>Amphipod distribution data from the North Atlantic and Artic waters compiled from literature records published in 1931-2018</v>
      </c>
      <c r="E95" s="1" t="s">
        <v>194</v>
      </c>
    </row>
    <row r="96" spans="1:5" x14ac:dyDescent="0.25">
      <c r="A96" s="1">
        <v>97</v>
      </c>
      <c r="B96" s="1" t="s">
        <v>99</v>
      </c>
      <c r="C96" s="1" t="s">
        <v>5</v>
      </c>
      <c r="D96" s="1" t="str">
        <f>VLOOKUP([1]datasetSummary!B96,[1]obisUUIDs!$V$2:$Z$387,4,)</f>
        <v>Nansen Legacy JC1 ice algae biodiversity</v>
      </c>
      <c r="E96" s="1" t="s">
        <v>194</v>
      </c>
    </row>
    <row r="97" spans="1:5" x14ac:dyDescent="0.25">
      <c r="A97" s="1">
        <v>98</v>
      </c>
      <c r="B97" s="1" t="s">
        <v>100</v>
      </c>
      <c r="C97" s="1" t="s">
        <v>1</v>
      </c>
      <c r="D97" s="1" t="str">
        <f>VLOOKUP([1]datasetSummary!B97,[1]obisUUIDs!$V$2:$Z$387,4,)</f>
        <v>Echinoidea distribution data from: Deep-sea fauna of European seas - an annotated species check-list of benthic invertebrates living deeper than 2000 m in the seas bordering Europe</v>
      </c>
      <c r="E97" s="1" t="s">
        <v>195</v>
      </c>
    </row>
    <row r="98" spans="1:5" x14ac:dyDescent="0.25">
      <c r="A98" s="1">
        <v>99</v>
      </c>
      <c r="B98" s="1" t="s">
        <v>101</v>
      </c>
      <c r="C98" s="1" t="s">
        <v>5</v>
      </c>
      <c r="D98" s="1" t="str">
        <f>VLOOKUP([1]datasetSummary!B98,[1]obisUUIDs!$V$2:$Z$387,4,)</f>
        <v>Ichthyology Collection, University Museum Bergen, University of Bergen</v>
      </c>
      <c r="E98" s="1" t="s">
        <v>195</v>
      </c>
    </row>
    <row r="99" spans="1:5" x14ac:dyDescent="0.25">
      <c r="A99" s="1">
        <v>100</v>
      </c>
      <c r="B99" s="1" t="s">
        <v>102</v>
      </c>
      <c r="C99" s="1" t="s">
        <v>1</v>
      </c>
      <c r="D99" s="1" t="str">
        <f>VLOOKUP([1]datasetSummary!B99,[1]obisUUIDs!$V$2:$Z$387,4,)</f>
        <v>Distribution of deep-sea sponges in the North Atlantic</v>
      </c>
      <c r="E99" s="1" t="s">
        <v>194</v>
      </c>
    </row>
    <row r="100" spans="1:5" x14ac:dyDescent="0.25">
      <c r="A100" s="1">
        <v>101</v>
      </c>
      <c r="B100" s="1" t="s">
        <v>103</v>
      </c>
      <c r="C100" s="1" t="s">
        <v>5</v>
      </c>
      <c r="D100" s="1" t="str">
        <f>VLOOKUP([1]datasetSummary!B100,[1]obisUUIDs!$V$2:$Z$387,4,)</f>
        <v>Cephalaspidean Gastropods</v>
      </c>
      <c r="E100" s="1" t="s">
        <v>194</v>
      </c>
    </row>
    <row r="101" spans="1:5" x14ac:dyDescent="0.25">
      <c r="A101" s="1">
        <v>102</v>
      </c>
      <c r="B101" s="1" t="s">
        <v>104</v>
      </c>
      <c r="C101" s="1" t="s">
        <v>5</v>
      </c>
      <c r="D101" s="1" t="str">
        <f>VLOOKUP([1]datasetSummary!B101,[1]obisUUIDs!$V$2:$Z$387,4,)</f>
        <v>(Table 9) Planktonic foraminifer abundance of ODP Site 162-985</v>
      </c>
      <c r="E101" s="1" t="s">
        <v>195</v>
      </c>
    </row>
    <row r="102" spans="1:5" x14ac:dyDescent="0.25">
      <c r="A102" s="1">
        <v>103</v>
      </c>
      <c r="B102" s="1" t="s">
        <v>105</v>
      </c>
      <c r="C102" s="1" t="s">
        <v>5</v>
      </c>
      <c r="D102" s="1" t="str">
        <f>VLOOKUP([1]datasetSummary!B102,[1]obisUUIDs!$V$2:$Z$387,4,)</f>
        <v>(Table 11) Planktonic foraminifer abundance of ODP Hole 162-987A</v>
      </c>
      <c r="E102" s="1" t="s">
        <v>195</v>
      </c>
    </row>
    <row r="103" spans="1:5" x14ac:dyDescent="0.25">
      <c r="A103" s="1">
        <v>104</v>
      </c>
      <c r="B103" s="1" t="s">
        <v>106</v>
      </c>
      <c r="C103" s="1" t="s">
        <v>5</v>
      </c>
      <c r="D103" s="1" t="str">
        <f>VLOOKUP([1]datasetSummary!B103,[1]obisUUIDs!$V$2:$Z$387,4,)</f>
        <v>JNCC seabird distribution and abundance data (all trips) from ESAS database</v>
      </c>
      <c r="E103" s="1" t="s">
        <v>195</v>
      </c>
    </row>
    <row r="104" spans="1:5" x14ac:dyDescent="0.25">
      <c r="A104" s="1">
        <v>105</v>
      </c>
      <c r="B104" s="2" t="s">
        <v>107</v>
      </c>
      <c r="C104" s="1" t="s">
        <v>5</v>
      </c>
      <c r="D104" s="1" t="str">
        <f>VLOOKUP([1]datasetSummary!B104,[1]obisUUIDs!$V$2:$Z$387,4,)</f>
        <v>(Table 1) Distribution of benthic foraminifera on sediment core PS2837</v>
      </c>
      <c r="E104" s="1" t="s">
        <v>195</v>
      </c>
    </row>
    <row r="105" spans="1:5" x14ac:dyDescent="0.25">
      <c r="A105" s="1">
        <v>106</v>
      </c>
      <c r="B105" s="1" t="s">
        <v>108</v>
      </c>
      <c r="C105" s="1" t="s">
        <v>5</v>
      </c>
      <c r="D105" s="1" t="str">
        <f>VLOOKUP([1]datasetSummary!B105,[1]obisUUIDs!$V$2:$Z$387,4,)</f>
        <v>(Table 6) Relative abundance of dead foraminifers in surface sediment</v>
      </c>
      <c r="E105" s="1" t="s">
        <v>195</v>
      </c>
    </row>
    <row r="106" spans="1:5" x14ac:dyDescent="0.25">
      <c r="A106" s="1">
        <v>107</v>
      </c>
      <c r="B106" s="1" t="s">
        <v>109</v>
      </c>
      <c r="C106" s="1" t="s">
        <v>5</v>
      </c>
      <c r="D106" s="1" t="str">
        <f>VLOOKUP([1]datasetSummary!B106,[1]obisUUIDs!$V$2:$Z$387,4,)</f>
        <v>(Table 4) Carbon flux, paleoproductivity, relative abundance of foraminifera on sediment core PS2837-5</v>
      </c>
      <c r="E106" s="1" t="s">
        <v>195</v>
      </c>
    </row>
    <row r="107" spans="1:5" x14ac:dyDescent="0.25">
      <c r="A107" s="1">
        <v>108</v>
      </c>
      <c r="B107" s="2" t="s">
        <v>110</v>
      </c>
      <c r="C107" s="1" t="s">
        <v>5</v>
      </c>
      <c r="D107" s="1" t="str">
        <f>VLOOKUP([1]datasetSummary!B107,[1]obisUUIDs!$V$2:$Z$387,4,)</f>
        <v>Lipid classes in zooplankton Nansen Legacy Q4</v>
      </c>
      <c r="E107" s="1" t="s">
        <v>194</v>
      </c>
    </row>
    <row r="108" spans="1:5" x14ac:dyDescent="0.25">
      <c r="A108" s="1">
        <v>109</v>
      </c>
      <c r="B108" s="1" t="s">
        <v>111</v>
      </c>
      <c r="C108" s="1" t="s">
        <v>5</v>
      </c>
      <c r="D108" s="1" t="str">
        <f>VLOOKUP([1]datasetSummary!B108,[1]obisUUIDs!$V$2:$Z$387,4,)</f>
        <v>COMARGIS: Information System on Continental Margin Ecosystems</v>
      </c>
      <c r="E108" s="1" t="s">
        <v>195</v>
      </c>
    </row>
    <row r="109" spans="1:5" x14ac:dyDescent="0.25">
      <c r="A109" s="1">
        <v>110</v>
      </c>
      <c r="B109" s="2" t="s">
        <v>112</v>
      </c>
      <c r="C109" s="1" t="s">
        <v>5</v>
      </c>
      <c r="D109" s="1" t="str">
        <f>VLOOKUP([1]datasetSummary!B109,[1]obisUUIDs!$V$2:$Z$387,4,)</f>
        <v>Collection Polychaeta SMF</v>
      </c>
      <c r="E109" s="1" t="s">
        <v>195</v>
      </c>
    </row>
    <row r="110" spans="1:5" x14ac:dyDescent="0.25">
      <c r="A110" s="1">
        <v>111</v>
      </c>
      <c r="B110" s="1" t="s">
        <v>113</v>
      </c>
      <c r="C110" s="1" t="s">
        <v>5</v>
      </c>
      <c r="D110" s="1" t="str">
        <f>VLOOKUP([1]datasetSummary!B110,[1]obisUUIDs!$V$2:$Z$387,4,)</f>
        <v>Collection Crustacea SMF</v>
      </c>
      <c r="E110" s="1" t="s">
        <v>195</v>
      </c>
    </row>
    <row r="111" spans="1:5" x14ac:dyDescent="0.25">
      <c r="A111" s="1">
        <v>112</v>
      </c>
      <c r="B111" s="1" t="s">
        <v>114</v>
      </c>
      <c r="C111" s="1" t="s">
        <v>5</v>
      </c>
      <c r="D111" s="1" t="str">
        <f>VLOOKUP([1]datasetSummary!B111,[1]obisUUIDs!$V$2:$Z$387,4,)</f>
        <v>Pycnogonida collection of the Shirshov Institute of Oceanology, Laboratory of Ocean Benthic Fauna</v>
      </c>
      <c r="E111" s="1" t="s">
        <v>195</v>
      </c>
    </row>
    <row r="112" spans="1:5" x14ac:dyDescent="0.25">
      <c r="A112" s="1">
        <v>113</v>
      </c>
      <c r="B112" s="1" t="s">
        <v>115</v>
      </c>
      <c r="C112" s="1" t="s">
        <v>5</v>
      </c>
      <c r="D112" s="1" t="str">
        <f>VLOOKUP([1]datasetSummary!B112,[1]obisUUIDs!$V$2:$Z$387,4,)</f>
        <v>Abundance of Polychaeta species in surface sediments of the east Greenland continental slope (79Â° N section)</v>
      </c>
      <c r="E112" s="1" t="s">
        <v>195</v>
      </c>
    </row>
    <row r="113" spans="1:5" x14ac:dyDescent="0.25">
      <c r="A113" s="1">
        <v>114</v>
      </c>
      <c r="B113" s="1" t="s">
        <v>116</v>
      </c>
      <c r="C113" s="1" t="s">
        <v>5</v>
      </c>
      <c r="D113" s="1" t="str">
        <f>VLOOKUP([1]datasetSummary!B113,[1]obisUUIDs!$V$2:$Z$387,4,)</f>
        <v>Abundance of Polychaeta species in surface sediments of the east Greenland continental slope (2000m section)</v>
      </c>
      <c r="E113" s="1" t="s">
        <v>195</v>
      </c>
    </row>
    <row r="114" spans="1:5" x14ac:dyDescent="0.25">
      <c r="A114" s="1">
        <v>115</v>
      </c>
      <c r="B114" s="1" t="s">
        <v>117</v>
      </c>
      <c r="C114" s="1" t="s">
        <v>5</v>
      </c>
      <c r="D114" s="1" t="str">
        <f>VLOOKUP([1]datasetSummary!B114,[1]obisUUIDs!$V$2:$Z$387,4,)</f>
        <v>imr_mareano_beamtrawl</v>
      </c>
      <c r="E114" s="1" t="s">
        <v>194</v>
      </c>
    </row>
    <row r="115" spans="1:5" x14ac:dyDescent="0.25">
      <c r="A115" s="1">
        <v>116</v>
      </c>
      <c r="B115" s="1" t="s">
        <v>118</v>
      </c>
      <c r="C115" s="1" t="s">
        <v>5</v>
      </c>
      <c r="D115" s="1" t="str">
        <f>VLOOKUP([1]datasetSummary!B115,[1]obisUUIDs!$V$2:$Z$387,4,)</f>
        <v>IO PAS Arctic Zooplankton</v>
      </c>
      <c r="E115" s="1" t="s">
        <v>194</v>
      </c>
    </row>
    <row r="116" spans="1:5" x14ac:dyDescent="0.25">
      <c r="A116" s="1">
        <v>117</v>
      </c>
      <c r="B116" s="1" t="s">
        <v>119</v>
      </c>
      <c r="C116" s="1" t="s">
        <v>1</v>
      </c>
      <c r="D116" s="1" t="str">
        <f>VLOOKUP([1]datasetSummary!B116,[1]obisUUIDs!$V$2:$Z$387,4,)</f>
        <v>Benthic Haploniscidae (Isopoda) collected around Iceland during the BIOICE, IceAGE, IceAGE2,IceAGE_RR and IceAGE3 expedtions in 1992-2020</v>
      </c>
      <c r="E116" s="1" t="s">
        <v>195</v>
      </c>
    </row>
    <row r="117" spans="1:5" x14ac:dyDescent="0.25">
      <c r="A117" s="1">
        <v>118</v>
      </c>
      <c r="B117" s="1" t="s">
        <v>120</v>
      </c>
      <c r="C117" s="1" t="s">
        <v>5</v>
      </c>
      <c r="D117" s="1" t="str">
        <f>VLOOKUP([1]datasetSummary!B117,[1]obisUUIDs!$V$2:$Z$387,4,)</f>
        <v>Under-ice Amphipods in the Greenland Sea and Fram Strait (Arctic): Environmental Controls and Seasonal Patterns Below the Pack Ice</v>
      </c>
      <c r="E117" s="1" t="s">
        <v>194</v>
      </c>
    </row>
    <row r="118" spans="1:5" x14ac:dyDescent="0.25">
      <c r="A118" s="1">
        <v>119</v>
      </c>
      <c r="B118" s="2" t="s">
        <v>121</v>
      </c>
      <c r="C118" s="1" t="s">
        <v>5</v>
      </c>
      <c r="D118" s="1" t="str">
        <f>VLOOKUP([1]datasetSummary!B118,[1]obisUUIDs!$V$2:$Z$387,4,)</f>
        <v>Nansen Legacy Q2 ice algae biodiversity slurpgun</v>
      </c>
      <c r="E118" s="1" t="s">
        <v>194</v>
      </c>
    </row>
    <row r="119" spans="1:5" x14ac:dyDescent="0.25">
      <c r="A119" s="1">
        <v>120</v>
      </c>
      <c r="B119" s="1" t="s">
        <v>122</v>
      </c>
      <c r="C119" s="1" t="s">
        <v>5</v>
      </c>
      <c r="D119" s="1" t="str">
        <f>VLOOKUP([1]datasetSummary!B119,[1]obisUUIDs!$V$2:$Z$387,4,)</f>
        <v>Santa Barbara Museum of Natural History - Invertebrate Zoology</v>
      </c>
      <c r="E119" s="1" t="s">
        <v>195</v>
      </c>
    </row>
    <row r="120" spans="1:5" x14ac:dyDescent="0.25">
      <c r="A120" s="1">
        <v>121</v>
      </c>
      <c r="B120" s="1" t="s">
        <v>123</v>
      </c>
      <c r="C120" s="1" t="s">
        <v>5</v>
      </c>
      <c r="D120" s="1" t="str">
        <f>VLOOKUP([1]datasetSummary!B120,[1]obisUUIDs!$V$2:$Z$387,4,)</f>
        <v>Phytoplankton community composition in the water column of East Greenland fjords, August 2022</v>
      </c>
      <c r="E120" s="1" t="s">
        <v>194</v>
      </c>
    </row>
    <row r="121" spans="1:5" x14ac:dyDescent="0.25">
      <c r="A121" s="1">
        <v>122</v>
      </c>
      <c r="B121" s="1" t="s">
        <v>124</v>
      </c>
      <c r="C121" s="1" t="s">
        <v>5</v>
      </c>
      <c r="D121" s="1" t="str">
        <f>VLOOKUP([1]datasetSummary!B121,[1]obisUUIDs!$V$2:$Z$387,4,)</f>
        <v>High gene flow in polar cod (Boreogadus saida) from West-Svalbard and the Eurasian Basin - Occurrence Data</v>
      </c>
      <c r="E121" s="1" t="s">
        <v>194</v>
      </c>
    </row>
    <row r="122" spans="1:5" x14ac:dyDescent="0.25">
      <c r="A122" s="1">
        <v>123</v>
      </c>
      <c r="B122" s="1" t="s">
        <v>125</v>
      </c>
      <c r="C122" s="1" t="s">
        <v>1</v>
      </c>
      <c r="D122" s="1" t="str">
        <f>VLOOKUP([1]datasetSummary!B122,[1]obisUUIDs!$V$2:$Z$387,4,)</f>
        <v>North Atlantic and Arctic Amphipoda sampled during the IceAGE project</v>
      </c>
      <c r="E122" s="1" t="s">
        <v>194</v>
      </c>
    </row>
    <row r="123" spans="1:5" x14ac:dyDescent="0.25">
      <c r="A123" s="1">
        <v>124</v>
      </c>
      <c r="B123" s="1" t="s">
        <v>126</v>
      </c>
      <c r="C123" s="1" t="s">
        <v>5</v>
      </c>
      <c r="D123" s="1" t="str">
        <f>VLOOKUP([1]datasetSummary!B123,[1]obisUUIDs!$V$2:$Z$387,4,)</f>
        <v>Sea-ice associated fauna biodiversity sampled by divers under the ice from the Nansen Legacy cruise Q2 (cruise number: 2021704)</v>
      </c>
      <c r="E123" s="1" t="s">
        <v>194</v>
      </c>
    </row>
    <row r="124" spans="1:5" x14ac:dyDescent="0.25">
      <c r="A124" s="1">
        <v>125</v>
      </c>
      <c r="B124" s="1" t="s">
        <v>127</v>
      </c>
      <c r="C124" s="1" t="s">
        <v>5</v>
      </c>
      <c r="D124" s="1" t="str">
        <f>VLOOKUP([1]datasetSummary!B124,[1]obisUUIDs!$V$2:$Z$387,4,)</f>
        <v>Vertebrates detected in marine water (collected August 2023) from the North Atlantic by the MSC Poesia cruise ship; inferred from 12S DNA metabarcoding data.</v>
      </c>
      <c r="E124" s="1" t="s">
        <v>195</v>
      </c>
    </row>
    <row r="125" spans="1:5" x14ac:dyDescent="0.25">
      <c r="A125" s="1">
        <v>126</v>
      </c>
      <c r="B125" s="1" t="s">
        <v>128</v>
      </c>
      <c r="C125" s="1" t="s">
        <v>1</v>
      </c>
      <c r="D125" s="1" t="str">
        <f>VLOOKUP([1]datasetSummary!B125,[1]obisUUIDs!$V$2:$Z$387,4,)</f>
        <v>Bigood</v>
      </c>
      <c r="E125" s="1" t="s">
        <v>195</v>
      </c>
    </row>
    <row r="126" spans="1:5" x14ac:dyDescent="0.25">
      <c r="A126" s="1">
        <v>127</v>
      </c>
      <c r="B126" s="1" t="s">
        <v>129</v>
      </c>
      <c r="C126" s="1" t="s">
        <v>5</v>
      </c>
      <c r="D126" s="1" t="str">
        <f>VLOOKUP([1]datasetSummary!B126,[1]obisUUIDs!$V$2:$Z$387,4,)</f>
        <v>Norwegian Species Observation Service</v>
      </c>
      <c r="E126" s="1" t="s">
        <v>195</v>
      </c>
    </row>
    <row r="127" spans="1:5" x14ac:dyDescent="0.25">
      <c r="A127" s="1">
        <v>128</v>
      </c>
      <c r="B127" s="1" t="s">
        <v>130</v>
      </c>
      <c r="C127" s="1" t="s">
        <v>1</v>
      </c>
      <c r="D127" s="1" t="str">
        <f>VLOOKUP([1]datasetSummary!B127,[1]obisUUIDs!$V$2:$Z$387,4,)</f>
        <v>Personal library collection of Martin Angel of published and unpublished Halocyprid (Ostracoda) occurrences</v>
      </c>
      <c r="E127" s="1" t="s">
        <v>195</v>
      </c>
    </row>
    <row r="128" spans="1:5" x14ac:dyDescent="0.25">
      <c r="A128" s="1">
        <v>129</v>
      </c>
      <c r="B128" s="1" t="s">
        <v>131</v>
      </c>
      <c r="C128" s="1" t="s">
        <v>5</v>
      </c>
      <c r="D128" s="1" t="str">
        <f>VLOOKUP([1]datasetSummary!B128,[1]obisUUIDs!$V$2:$Z$387,4,)</f>
        <v>IO PAS Polychaeta</v>
      </c>
      <c r="E128" s="1" t="s">
        <v>194</v>
      </c>
    </row>
    <row r="129" spans="1:5" x14ac:dyDescent="0.25">
      <c r="A129" s="1">
        <v>130</v>
      </c>
      <c r="B129" s="1" t="s">
        <v>132</v>
      </c>
      <c r="C129" s="1" t="s">
        <v>5</v>
      </c>
      <c r="D129" s="1" t="str">
        <f>VLOOKUP([1]datasetSummary!B129,[1]obisUUIDs!$V$2:$Z$387,4,)</f>
        <v>Nansen Legacy Q3 phytoplankton biodiversity</v>
      </c>
      <c r="E129" s="1" t="s">
        <v>194</v>
      </c>
    </row>
    <row r="130" spans="1:5" x14ac:dyDescent="0.25">
      <c r="A130" s="1">
        <v>131</v>
      </c>
      <c r="B130" s="1" t="s">
        <v>133</v>
      </c>
      <c r="C130" s="1" t="s">
        <v>1</v>
      </c>
      <c r="D130" s="1" t="str">
        <f>VLOOKUP([1]datasetSummary!B130,[1]obisUUIDs!$V$2:$Z$387,4,)</f>
        <v>Type locality distributions from the World Register of Marine Species</v>
      </c>
      <c r="E130" s="1" t="s">
        <v>195</v>
      </c>
    </row>
    <row r="131" spans="1:5" x14ac:dyDescent="0.25">
      <c r="A131" s="1">
        <v>132</v>
      </c>
      <c r="B131" s="1" t="s">
        <v>134</v>
      </c>
      <c r="C131" s="1" t="s">
        <v>5</v>
      </c>
      <c r="D131" s="1" t="str">
        <f>VLOOKUP([1]datasetSummary!B131,[1]obisUUIDs!$V$2:$Z$387,4,)</f>
        <v>(Table 2) Megafauna density 2002, 2004 and 2007 in the deep-sea observatory AWI-HAUSGARTEN, Fram Strait</v>
      </c>
      <c r="E131" s="1" t="s">
        <v>195</v>
      </c>
    </row>
    <row r="132" spans="1:5" x14ac:dyDescent="0.25">
      <c r="A132" s="1">
        <v>133</v>
      </c>
      <c r="B132" s="1" t="s">
        <v>135</v>
      </c>
      <c r="C132" s="1" t="s">
        <v>5</v>
      </c>
      <c r="D132" s="1" t="str">
        <f>VLOOKUP([1]datasetSummary!B132,[1]obisUUIDs!$V$2:$Z$387,4,)</f>
        <v>Fatty acids in zooplankton Nansen Legacy Q4</v>
      </c>
      <c r="E132" s="1" t="s">
        <v>194</v>
      </c>
    </row>
    <row r="133" spans="1:5" x14ac:dyDescent="0.25">
      <c r="A133" s="1">
        <v>134</v>
      </c>
      <c r="B133" s="1" t="s">
        <v>136</v>
      </c>
      <c r="C133" s="1" t="s">
        <v>5</v>
      </c>
      <c r="D133" s="1" t="str">
        <f>VLOOKUP([1]datasetSummary!B133,[1]obisUUIDs!$V$2:$Z$387,4,)</f>
        <v>Environmental Monitoring database (MOD) DNV</v>
      </c>
      <c r="E133" s="1" t="s">
        <v>194</v>
      </c>
    </row>
    <row r="134" spans="1:5" x14ac:dyDescent="0.25">
      <c r="A134" s="1">
        <v>135</v>
      </c>
      <c r="B134" s="1" t="s">
        <v>137</v>
      </c>
      <c r="C134" s="1" t="s">
        <v>1</v>
      </c>
      <c r="D134" s="1" t="str">
        <f>VLOOKUP([1]datasetSummary!B134,[1]obisUUIDs!$V$2:$Z$387,4,)</f>
        <v>North Atlantic and Arctic Cumacea sampled during the IceAGE (2011) and PASCAL (2017) project</v>
      </c>
      <c r="E134" s="1" t="s">
        <v>194</v>
      </c>
    </row>
    <row r="135" spans="1:5" x14ac:dyDescent="0.25">
      <c r="A135" s="1">
        <v>136</v>
      </c>
      <c r="B135" s="1" t="s">
        <v>138</v>
      </c>
      <c r="C135" s="1" t="s">
        <v>5</v>
      </c>
      <c r="D135" s="1" t="str">
        <f>VLOOKUP([1]datasetSummary!B135,[1]obisUUIDs!$V$2:$Z$387,4,)</f>
        <v>Catalogue of the type specimens of Pogonophora (Annelida; seu Polychaeta: Siboglinidae) from research collections of the Zoological Institute, Russian Academy of Sciences</v>
      </c>
      <c r="E135" s="1" t="s">
        <v>194</v>
      </c>
    </row>
    <row r="136" spans="1:5" x14ac:dyDescent="0.25">
      <c r="A136" s="1">
        <v>137</v>
      </c>
      <c r="B136" s="1" t="s">
        <v>139</v>
      </c>
      <c r="C136" s="1" t="s">
        <v>1</v>
      </c>
      <c r="D136" s="1" t="str">
        <f>VLOOKUP([1]datasetSummary!B136,[1]obisUUIDs!$V$2:$Z$387,4,)</f>
        <v>Fishes of the Gothenburg Natural History Museum</v>
      </c>
      <c r="E136" s="1" t="s">
        <v>195</v>
      </c>
    </row>
    <row r="137" spans="1:5" x14ac:dyDescent="0.25">
      <c r="A137" s="1">
        <v>138</v>
      </c>
      <c r="B137" s="1" t="s">
        <v>140</v>
      </c>
      <c r="C137" s="1" t="s">
        <v>5</v>
      </c>
      <c r="D137" s="1" t="str">
        <f>VLOOKUP([1]datasetSummary!B137,[1]obisUUIDs!$V$2:$Z$387,4,)</f>
        <v>Nansen Legacy Seasonal Study Q1 2nd March - 25th March 2021 Mesozooplankton Biodiversity</v>
      </c>
      <c r="E137" s="1" t="s">
        <v>194</v>
      </c>
    </row>
    <row r="138" spans="1:5" x14ac:dyDescent="0.25">
      <c r="A138" s="1">
        <v>139</v>
      </c>
      <c r="B138" s="1" t="s">
        <v>141</v>
      </c>
      <c r="C138" s="1" t="s">
        <v>5</v>
      </c>
      <c r="D138" s="1" t="str">
        <f>VLOOKUP([1]datasetSummary!B138,[1]obisUUIDs!$V$2:$Z$387,4,)</f>
        <v>IO PAS Benthic Hydrozoa</v>
      </c>
      <c r="E138" s="1" t="s">
        <v>194</v>
      </c>
    </row>
    <row r="139" spans="1:5" x14ac:dyDescent="0.25">
      <c r="A139" s="1">
        <v>140</v>
      </c>
      <c r="B139" s="1" t="s">
        <v>142</v>
      </c>
      <c r="C139" s="1" t="s">
        <v>5</v>
      </c>
      <c r="D139" s="1" t="str">
        <f>VLOOKUP([1]datasetSummary!B139,[1]obisUUIDs!$V$2:$Z$387,4,)</f>
        <v>Morphotaxa Occurrence Data on Schulz Bank 2017-2018, Arctic Mid-Ocean Ridge</v>
      </c>
      <c r="E139" s="1" t="s">
        <v>194</v>
      </c>
    </row>
    <row r="140" spans="1:5" x14ac:dyDescent="0.25">
      <c r="A140" s="1">
        <v>141</v>
      </c>
      <c r="B140" s="1" t="s">
        <v>143</v>
      </c>
      <c r="C140" s="1" t="s">
        <v>5</v>
      </c>
      <c r="D140" s="1" t="str">
        <f>VLOOKUP([1]datasetSummary!B140,[1]obisUUIDs!$V$2:$Z$387,4,)</f>
        <v>Distribution and diversity of sipunculan fauna in high Arctic fjords (west Svalbard)</v>
      </c>
      <c r="E140" s="1" t="s">
        <v>194</v>
      </c>
    </row>
    <row r="141" spans="1:5" x14ac:dyDescent="0.25">
      <c r="A141" s="1">
        <v>142</v>
      </c>
      <c r="B141" s="1" t="s">
        <v>144</v>
      </c>
      <c r="C141" s="1" t="s">
        <v>5</v>
      </c>
      <c r="D141" s="1" t="s">
        <v>145</v>
      </c>
      <c r="E141" s="1" t="s">
        <v>195</v>
      </c>
    </row>
    <row r="142" spans="1:5" x14ac:dyDescent="0.25">
      <c r="A142" s="1">
        <v>143</v>
      </c>
      <c r="B142" s="1" t="s">
        <v>146</v>
      </c>
      <c r="C142" s="1" t="s">
        <v>5</v>
      </c>
      <c r="D142" s="1" t="str">
        <f>VLOOKUP([1]datasetSummary!B142,[1]obisUUIDs!$V$2:$Z$387,4,)</f>
        <v>DASSH Data Archive Centre - Statutory Surveys</v>
      </c>
      <c r="E142" s="1" t="s">
        <v>194</v>
      </c>
    </row>
    <row r="143" spans="1:5" x14ac:dyDescent="0.25">
      <c r="A143" s="1">
        <v>144</v>
      </c>
      <c r="B143" s="1" t="s">
        <v>147</v>
      </c>
      <c r="C143" s="1" t="s">
        <v>1</v>
      </c>
      <c r="D143" s="1" t="str">
        <f>VLOOKUP([1]datasetSummary!B143,[1]obisUUIDs!$V$2:$Z$387,4,)</f>
        <v>North Atlantic and Arctic Isopoda sampled during the IceAGE project</v>
      </c>
      <c r="E143" s="1" t="s">
        <v>194</v>
      </c>
    </row>
    <row r="144" spans="1:5" x14ac:dyDescent="0.25">
      <c r="A144" s="1">
        <v>145</v>
      </c>
      <c r="B144" s="1" t="s">
        <v>148</v>
      </c>
      <c r="C144" s="1" t="s">
        <v>5</v>
      </c>
      <c r="D144" s="1" t="str">
        <f>VLOOKUP([1]datasetSummary!B144,[1]obisUUIDs!$V$2:$Z$387,4,)</f>
        <v>Protist communities in moored long-term sediment traps (Fram Strait, Arctic)  Preservation with mercury chloride allows for PCR-based molecular genetic analyses</v>
      </c>
      <c r="E144" s="1" t="s">
        <v>195</v>
      </c>
    </row>
    <row r="145" spans="1:5" x14ac:dyDescent="0.25">
      <c r="A145" s="1">
        <v>146</v>
      </c>
      <c r="B145" s="1" t="s">
        <v>149</v>
      </c>
      <c r="C145" s="1" t="s">
        <v>5</v>
      </c>
      <c r="D145" s="1" t="str">
        <f>VLOOKUP([1]datasetSummary!B145,[1]obisUUIDs!$V$2:$Z$387,4,)</f>
        <v>Invertebrate collections, UiB</v>
      </c>
      <c r="E145" s="1" t="s">
        <v>195</v>
      </c>
    </row>
    <row r="146" spans="1:5" x14ac:dyDescent="0.25">
      <c r="A146" s="1">
        <v>147</v>
      </c>
      <c r="B146" s="1" t="s">
        <v>150</v>
      </c>
      <c r="C146" s="1" t="s">
        <v>5</v>
      </c>
      <c r="D146" s="1" t="str">
        <f>VLOOKUP([1]datasetSummary!B146,[1]obisUUIDs!$V$2:$Z$387,4,)</f>
        <v>Benthic macrofauna community from the Northwestern Barents Sea from seasonal cruises (Q3-August 2019; Q4-December 2019; Q1-March 2021; Q2-May 2021)-The Nansen Legacy project (Arven etter Nansen)</v>
      </c>
      <c r="E146" s="1" t="s">
        <v>194</v>
      </c>
    </row>
    <row r="147" spans="1:5" x14ac:dyDescent="0.25">
      <c r="A147" s="1">
        <v>148</v>
      </c>
      <c r="B147" s="1" t="s">
        <v>151</v>
      </c>
      <c r="C147" s="1" t="s">
        <v>5</v>
      </c>
      <c r="D147" s="1" t="str">
        <f>VLOOKUP([1]datasetSummary!B147,[1]obisUUIDs!$V$2:$Z$387,4,)</f>
        <v>Arctic first-year drift ice and under-ice water bacterial communities</v>
      </c>
      <c r="E147" s="1" t="s">
        <v>195</v>
      </c>
    </row>
    <row r="148" spans="1:5" x14ac:dyDescent="0.25">
      <c r="A148" s="1">
        <v>149</v>
      </c>
      <c r="B148" s="1" t="s">
        <v>152</v>
      </c>
      <c r="C148" s="1" t="s">
        <v>5</v>
      </c>
      <c r="D148" s="1" t="str">
        <f>VLOOKUP([1]datasetSummary!B148,[1]obisUUIDs!$V$2:$Z$387,4,)</f>
        <v>imr_mareano_grab</v>
      </c>
      <c r="E148" s="1" t="s">
        <v>194</v>
      </c>
    </row>
    <row r="149" spans="1:5" x14ac:dyDescent="0.25">
      <c r="A149" s="1">
        <v>150</v>
      </c>
      <c r="B149" s="1" t="s">
        <v>153</v>
      </c>
      <c r="C149" s="1" t="s">
        <v>5</v>
      </c>
      <c r="D149" s="1" t="str">
        <f>VLOOKUP([1]datasetSummary!B149,[1]obisUUIDs!$V$2:$Z$387,4,)</f>
        <v>Taxonomy and distribution of recent species of the subfamily Nodosariinae (Foraminifera) in Icelandic waters</v>
      </c>
      <c r="E149" s="1" t="s">
        <v>195</v>
      </c>
    </row>
    <row r="150" spans="1:5" x14ac:dyDescent="0.25">
      <c r="A150" s="1">
        <v>151</v>
      </c>
      <c r="B150" s="1" t="s">
        <v>154</v>
      </c>
      <c r="C150" s="1" t="s">
        <v>1</v>
      </c>
      <c r="D150" s="1" t="str">
        <f>VLOOKUP([1]datasetSummary!B150,[1]obisUUIDs!$V$2:$Z$387,4,)</f>
        <v>grab_2006-2022</v>
      </c>
      <c r="E150" s="1" t="s">
        <v>194</v>
      </c>
    </row>
    <row r="151" spans="1:5" x14ac:dyDescent="0.25">
      <c r="A151" s="1">
        <v>152</v>
      </c>
      <c r="B151" s="1" t="s">
        <v>155</v>
      </c>
      <c r="C151" s="1" t="s">
        <v>5</v>
      </c>
      <c r="D151" s="1" t="str">
        <f>VLOOKUP([1]datasetSummary!B151,[1]obisUUIDs!$V$2:$Z$387,4,)</f>
        <v>Microbial community 16S rRNA from Fram Strait water samples PS85 2014</v>
      </c>
      <c r="E151" s="1" t="s">
        <v>194</v>
      </c>
    </row>
    <row r="152" spans="1:5" x14ac:dyDescent="0.25">
      <c r="A152" s="1">
        <v>153</v>
      </c>
      <c r="B152" s="1" t="s">
        <v>156</v>
      </c>
      <c r="C152" s="1" t="s">
        <v>5</v>
      </c>
      <c r="D152" s="1" t="str">
        <f>VLOOKUP([1]datasetSummary!B152,[1]obisUUIDs!$V$2:$Z$387,4,)</f>
        <v>Arctic benthos Targeted Locus (Loci)</v>
      </c>
      <c r="E152" s="1" t="s">
        <v>194</v>
      </c>
    </row>
    <row r="153" spans="1:5" x14ac:dyDescent="0.25">
      <c r="A153" s="1">
        <v>154</v>
      </c>
      <c r="B153" s="1" t="s">
        <v>157</v>
      </c>
      <c r="C153" s="1" t="s">
        <v>5</v>
      </c>
      <c r="D153" s="1" t="str">
        <f>VLOOKUP([1]datasetSummary!B153,[1]obisUUIDs!$V$2:$Z$387,4,)</f>
        <v>INSDC Sequences</v>
      </c>
      <c r="E153" s="1" t="s">
        <v>195</v>
      </c>
    </row>
    <row r="154" spans="1:5" x14ac:dyDescent="0.25">
      <c r="A154" s="1">
        <v>155</v>
      </c>
      <c r="B154" s="1" t="s">
        <v>158</v>
      </c>
      <c r="C154" s="1" t="s">
        <v>1</v>
      </c>
      <c r="D154" s="1" t="str">
        <f>VLOOKUP([1]datasetSummary!B154,[1]obisUUIDs!$V$2:$Z$387,4,)</f>
        <v>Offshore reference stations, Norwegian/Barents Sea</v>
      </c>
      <c r="E154" s="1" t="s">
        <v>195</v>
      </c>
    </row>
    <row r="155" spans="1:5" x14ac:dyDescent="0.25">
      <c r="A155" s="1">
        <v>156</v>
      </c>
      <c r="B155" s="1" t="s">
        <v>159</v>
      </c>
      <c r="C155" s="1" t="s">
        <v>5</v>
      </c>
      <c r="D155" s="1" t="str">
        <f>VLOOKUP([1]datasetSummary!B155,[1]obisUUIDs!$V$2:$Z$387,4,)</f>
        <v>Naturalis Biodiversity Center (NL) - Mollusca</v>
      </c>
      <c r="E155" s="1" t="s">
        <v>195</v>
      </c>
    </row>
    <row r="156" spans="1:5" x14ac:dyDescent="0.25">
      <c r="A156" s="1">
        <v>157</v>
      </c>
      <c r="B156" s="1" t="s">
        <v>160</v>
      </c>
      <c r="C156" s="1" t="s">
        <v>5</v>
      </c>
      <c r="D156" s="1" t="str">
        <f>VLOOKUP([1]datasetSummary!B156,[1]obisUUIDs!$V$2:$Z$387,4,)</f>
        <v>The crustaceans collection (IU) of the Muséum national d'Histoire naturelle (MNHN - Paris)</v>
      </c>
      <c r="E156" s="1" t="s">
        <v>195</v>
      </c>
    </row>
    <row r="157" spans="1:5" x14ac:dyDescent="0.25">
      <c r="A157" s="1">
        <v>158</v>
      </c>
      <c r="B157" s="1" t="s">
        <v>161</v>
      </c>
      <c r="C157" s="1" t="s">
        <v>5</v>
      </c>
      <c r="D157" s="1" t="str">
        <f>VLOOKUP([1]datasetSummary!B157,[1]obisUUIDs!$V$2:$Z$387,4,)</f>
        <v>RBINS Crustacea collection</v>
      </c>
      <c r="E157" s="1" t="s">
        <v>195</v>
      </c>
    </row>
    <row r="158" spans="1:5" x14ac:dyDescent="0.25">
      <c r="A158" s="1">
        <v>159</v>
      </c>
      <c r="B158" s="1" t="s">
        <v>162</v>
      </c>
      <c r="C158" s="1" t="s">
        <v>5</v>
      </c>
      <c r="D158" s="1" t="str">
        <f>VLOOKUP([1]datasetSummary!B158,[1]obisUUIDs!$V$2:$Z$387,4,)</f>
        <v>Species lists for benthic communities of Norwegian fjords from environmental surveys (data used in Sen et al. Estuarine, Coastal and Shelf Science 2022)</v>
      </c>
      <c r="E158" s="1" t="s">
        <v>194</v>
      </c>
    </row>
    <row r="159" spans="1:5" x14ac:dyDescent="0.25">
      <c r="A159" s="1">
        <v>160</v>
      </c>
      <c r="B159" s="1" t="s">
        <v>163</v>
      </c>
      <c r="C159" s="1" t="s">
        <v>1</v>
      </c>
      <c r="D159" s="1" t="str">
        <f>VLOOKUP([1]datasetSummary!B159,[1]obisUUIDs!$V$2:$Z$387,4,)</f>
        <v>Environmental Monitoring database (MOD) DNV</v>
      </c>
      <c r="E159" s="1" t="s">
        <v>194</v>
      </c>
    </row>
    <row r="160" spans="1:5" x14ac:dyDescent="0.25">
      <c r="A160" s="1">
        <v>161</v>
      </c>
      <c r="B160" s="1" t="s">
        <v>164</v>
      </c>
      <c r="C160" s="1" t="s">
        <v>1</v>
      </c>
      <c r="D160" s="1" t="str">
        <f>VLOOKUP([1]datasetSummary!B160,[1]obisUUIDs!$V$2:$Z$387,4,)</f>
        <v>Crinoidea distribution data from: Deep-sea fauna of European seas - an annotated species check-list of benthic invertebrates living deeper than 2000 m in the seas bordering Europe</v>
      </c>
      <c r="E160" s="1" t="s">
        <v>195</v>
      </c>
    </row>
    <row r="161" spans="1:5" x14ac:dyDescent="0.25">
      <c r="A161" s="1">
        <v>162</v>
      </c>
      <c r="B161" s="1" t="s">
        <v>165</v>
      </c>
      <c r="C161" s="1" t="s">
        <v>5</v>
      </c>
      <c r="D161" s="1" t="str">
        <f>VLOOKUP([1]datasetSummary!B161,[1]obisUUIDs!$V$2:$Z$387,4,)</f>
        <v>Conchological Society of Great Britain &amp;amp; Ireland: marine mollusc records</v>
      </c>
      <c r="E161" s="1" t="s">
        <v>194</v>
      </c>
    </row>
    <row r="162" spans="1:5" x14ac:dyDescent="0.25">
      <c r="A162" s="1">
        <v>163</v>
      </c>
      <c r="B162" s="1" t="s">
        <v>166</v>
      </c>
      <c r="C162" s="1" t="s">
        <v>5</v>
      </c>
      <c r="D162" s="1" t="str">
        <f>VLOOKUP([1]datasetSummary!B162,[1]obisUUIDs!$V$2:$Z$387,4,)</f>
        <v>imr_mareano_rpsledge</v>
      </c>
      <c r="E162" s="1" t="s">
        <v>194</v>
      </c>
    </row>
    <row r="163" spans="1:5" x14ac:dyDescent="0.25">
      <c r="A163" s="1">
        <v>164</v>
      </c>
      <c r="B163" s="1" t="s">
        <v>167</v>
      </c>
      <c r="C163" s="1" t="s">
        <v>1</v>
      </c>
      <c r="D163" s="1" t="str">
        <f>VLOOKUP([1]datasetSummary!B163,[1]obisUUIDs!$V$2:$Z$387,4,)</f>
        <v>Phytoplankton from the White Sea, Barents Sea, Norwegian Sea and Arctic Basin 1993-2003</v>
      </c>
      <c r="E163" s="1" t="s">
        <v>194</v>
      </c>
    </row>
    <row r="164" spans="1:5" x14ac:dyDescent="0.25">
      <c r="A164" s="1">
        <v>165</v>
      </c>
      <c r="B164" s="1" t="s">
        <v>168</v>
      </c>
      <c r="C164" s="1" t="s">
        <v>1</v>
      </c>
      <c r="D164" s="1" t="str">
        <f>VLOOKUP([1]datasetSummary!B164,[1]obisUUIDs!$V$2:$Z$387,4,)</f>
        <v>Plankton community in Multinet (300µm), Tara Oceans cruise</v>
      </c>
      <c r="E164" s="1" t="s">
        <v>194</v>
      </c>
    </row>
    <row r="165" spans="1:5" x14ac:dyDescent="0.25">
      <c r="A165" s="1">
        <v>166</v>
      </c>
      <c r="B165" s="1" t="s">
        <v>169</v>
      </c>
      <c r="C165" s="1" t="s">
        <v>5</v>
      </c>
      <c r="D165" s="1" t="str">
        <f>VLOOKUP([1]datasetSummary!B165,[1]obisUUIDs!$V$2:$Z$387,4,)</f>
        <v>Marine invertebrate collection NTNU University Museum</v>
      </c>
      <c r="E165" s="1" t="s">
        <v>195</v>
      </c>
    </row>
    <row r="166" spans="1:5" x14ac:dyDescent="0.25">
      <c r="A166" s="1">
        <v>167</v>
      </c>
      <c r="B166" s="1" t="s">
        <v>170</v>
      </c>
      <c r="C166" s="1" t="s">
        <v>5</v>
      </c>
      <c r="D166" s="1" t="str">
        <f>VLOOKUP([1]datasetSummary!B166,[1]obisUUIDs!$V$2:$Z$387,4,)</f>
        <v>Alabama Museum of Natural History Invertebrate Zoology (Arctos)</v>
      </c>
      <c r="E166" s="1" t="s">
        <v>195</v>
      </c>
    </row>
    <row r="167" spans="1:5" x14ac:dyDescent="0.25">
      <c r="A167" s="1">
        <v>168</v>
      </c>
      <c r="B167" s="1" t="s">
        <v>171</v>
      </c>
      <c r="C167" s="1" t="s">
        <v>5</v>
      </c>
      <c r="D167" s="1" t="str">
        <f>VLOOKUP([1]datasetSummary!B167,[1]obisUUIDs!$V$2:$Z$387,4,)</f>
        <v>Echinodermata collection of Shirshov Institute of Oceanology</v>
      </c>
      <c r="E167" s="1" t="s">
        <v>195</v>
      </c>
    </row>
    <row r="168" spans="1:5" x14ac:dyDescent="0.25">
      <c r="A168" s="1">
        <v>169</v>
      </c>
      <c r="B168" s="1" t="s">
        <v>172</v>
      </c>
      <c r="C168" s="1" t="s">
        <v>5</v>
      </c>
      <c r="D168" s="1" t="str">
        <f>VLOOKUP([1]datasetSummary!B168,[1]obisUUIDs!$V$2:$Z$387,4,)</f>
        <v>Invertebrates (Type Specimens) of the Swedish Museum of Natural History</v>
      </c>
      <c r="E168" s="1" t="s">
        <v>195</v>
      </c>
    </row>
    <row r="169" spans="1:5" x14ac:dyDescent="0.25">
      <c r="A169" s="1">
        <v>170</v>
      </c>
      <c r="B169" s="1" t="s">
        <v>173</v>
      </c>
      <c r="C169" s="1" t="s">
        <v>1</v>
      </c>
      <c r="D169" s="1" t="str">
        <f>VLOOKUP([1]datasetSummary!B169,[1]obisUUIDs!$V$2:$Z$387,4,)</f>
        <v>COMARGIS: Information System on Continental Margin Ecosystems</v>
      </c>
      <c r="E169" s="1" t="s">
        <v>194</v>
      </c>
    </row>
    <row r="170" spans="1:5" x14ac:dyDescent="0.25">
      <c r="A170" s="1">
        <v>171</v>
      </c>
      <c r="B170" s="1" t="s">
        <v>174</v>
      </c>
      <c r="C170" s="1" t="s">
        <v>5</v>
      </c>
      <c r="D170" s="1" t="str">
        <f>VLOOKUP([1]datasetSummary!B170,[1]obisUUIDs!$V$2:$Z$387,4,)</f>
        <v>ZMMU MSU, White Sea Branch</v>
      </c>
      <c r="E170" s="1" t="s">
        <v>195</v>
      </c>
    </row>
    <row r="171" spans="1:5" x14ac:dyDescent="0.25">
      <c r="A171" s="3">
        <v>172</v>
      </c>
      <c r="B171" s="3" t="s">
        <v>175</v>
      </c>
      <c r="C171" s="3" t="s">
        <v>5</v>
      </c>
      <c r="D171" s="3" t="str">
        <f>VLOOKUP([1]datasetSummary!B171,[1]obisUUIDs!$V$2:$Z$387,4,)</f>
        <v>The fishes collection (IC) of the Muséum national d'Histoire naturelle (MNHN - Paris)</v>
      </c>
      <c r="E171" s="1" t="s">
        <v>195</v>
      </c>
    </row>
    <row r="172" spans="1:5" x14ac:dyDescent="0.25">
      <c r="A172" s="3">
        <v>173</v>
      </c>
      <c r="B172" s="3" t="s">
        <v>176</v>
      </c>
      <c r="C172" s="3" t="s">
        <v>1</v>
      </c>
      <c r="D172" s="3" t="str">
        <f>VLOOKUP([1]datasetSummary!B172,[1]obisUUIDs!$V$2:$Z$387,4,)</f>
        <v>Alabama Museum of Natural History Invertebrate Zoology (Arctos)</v>
      </c>
      <c r="E172" s="1" t="s">
        <v>195</v>
      </c>
    </row>
    <row r="173" spans="1:5" x14ac:dyDescent="0.25">
      <c r="A173" s="3">
        <v>174</v>
      </c>
      <c r="B173" s="3" t="s">
        <v>177</v>
      </c>
      <c r="C173" s="3" t="s">
        <v>1</v>
      </c>
      <c r="D173" s="3" t="str">
        <f>VLOOKUP([1]datasetSummary!B173,[1]obisUUIDs!$V$2:$Z$387,4,)</f>
        <v>Biogeographic data from BODC - British Oceanographic Data Centre</v>
      </c>
      <c r="E173" s="1" t="s">
        <v>195</v>
      </c>
    </row>
    <row r="174" spans="1:5" x14ac:dyDescent="0.25">
      <c r="A174" s="3">
        <v>175</v>
      </c>
      <c r="B174" s="3" t="s">
        <v>178</v>
      </c>
      <c r="C174" s="3" t="s">
        <v>1</v>
      </c>
      <c r="D174" s="3" t="str">
        <f>VLOOKUP([1]datasetSummary!B174,[1]obisUUIDs!$V$2:$Z$387,4,)</f>
        <v>Occurrence records of southern African aquatic biodiversity</v>
      </c>
      <c r="E174" s="1" t="s">
        <v>195</v>
      </c>
    </row>
    <row r="175" spans="1:5" x14ac:dyDescent="0.25">
      <c r="A175" s="3">
        <v>176</v>
      </c>
      <c r="B175" s="3" t="s">
        <v>179</v>
      </c>
      <c r="C175" s="3" t="s">
        <v>180</v>
      </c>
      <c r="D175" s="3" t="str">
        <f>VLOOKUP([1]datasetSummary!B175,[1]obisUUIDs!$V$2:$Z$387,4,)</f>
        <v>Biogeographic data from BODC - British Oceanographic Data Centre</v>
      </c>
      <c r="E175" s="1" t="s">
        <v>195</v>
      </c>
    </row>
    <row r="176" spans="1:5" x14ac:dyDescent="0.25">
      <c r="A176" s="3">
        <v>177</v>
      </c>
      <c r="B176" s="3" t="s">
        <v>181</v>
      </c>
      <c r="C176" s="3" t="s">
        <v>180</v>
      </c>
      <c r="D176" s="3" t="str">
        <f>VLOOKUP([1]datasetSummary!B176,[1]obisUUIDs!$V$2:$Z$387,4,)</f>
        <v>NUI</v>
      </c>
      <c r="E176" s="1" t="s">
        <v>195</v>
      </c>
    </row>
    <row r="177" spans="1:5" x14ac:dyDescent="0.25">
      <c r="A177" s="3">
        <v>178</v>
      </c>
      <c r="B177" s="3" t="s">
        <v>182</v>
      </c>
      <c r="C177" s="3" t="s">
        <v>180</v>
      </c>
      <c r="D177" s="3" t="str">
        <f>VLOOKUP([1]datasetSummary!B177,[1]obisUUIDs!$V$2:$Z$387,4,)</f>
        <v>PANGAEA - Data from Joint Global Ocean Flux Study (JGOF)</v>
      </c>
      <c r="E177" s="1" t="s">
        <v>195</v>
      </c>
    </row>
    <row r="178" spans="1:5" x14ac:dyDescent="0.25">
      <c r="A178" s="3">
        <v>179</v>
      </c>
      <c r="B178" s="3" t="s">
        <v>183</v>
      </c>
      <c r="C178" s="3" t="s">
        <v>180</v>
      </c>
      <c r="D178" s="3" t="str">
        <f>VLOOKUP([1]datasetSummary!B178,[1]obisUUIDs!$V$2:$Z$387,4,)</f>
        <v>IRD, UMR EME, Sète, France</v>
      </c>
      <c r="E178" s="1" t="s">
        <v>195</v>
      </c>
    </row>
    <row r="179" spans="1:5" x14ac:dyDescent="0.25">
      <c r="A179" s="3">
        <v>180</v>
      </c>
      <c r="B179" s="3" t="s">
        <v>184</v>
      </c>
      <c r="C179" s="3" t="s">
        <v>180</v>
      </c>
      <c r="D179" s="3" t="str">
        <f>VLOOKUP([1]datasetSummary!B179,[1]obisUUIDs!$V$2:$Z$387,4,)</f>
        <v>Type locality distributions from the World Register of Marine Species</v>
      </c>
      <c r="E179" s="1" t="s">
        <v>195</v>
      </c>
    </row>
    <row r="180" spans="1:5" x14ac:dyDescent="0.25">
      <c r="A180" s="3">
        <v>181</v>
      </c>
      <c r="B180" s="3" t="s">
        <v>185</v>
      </c>
      <c r="C180" s="3" t="s">
        <v>180</v>
      </c>
      <c r="D180" s="3" t="str">
        <f>VLOOKUP([1]datasetSummary!B180,[1]obisUUIDs!$V$2:$Z$387,4,)</f>
        <v>Aarhus-BIOS / Horseshoe crab distribution records from East America and Asia</v>
      </c>
      <c r="E180" s="1" t="s">
        <v>195</v>
      </c>
    </row>
    <row r="181" spans="1:5" x14ac:dyDescent="0.25">
      <c r="A181" s="3">
        <v>182</v>
      </c>
      <c r="B181" s="3" t="s">
        <v>186</v>
      </c>
      <c r="C181" s="3" t="s">
        <v>180</v>
      </c>
      <c r="D181" s="3" t="str">
        <f>VLOOKUP([1]datasetSummary!B181,[1]obisUUIDs!$V$2:$Z$387,4,)</f>
        <v>RBINS-Scientific Heritage</v>
      </c>
      <c r="E181" s="1" t="s">
        <v>195</v>
      </c>
    </row>
    <row r="182" spans="1:5" x14ac:dyDescent="0.25">
      <c r="A182" s="3">
        <v>183</v>
      </c>
      <c r="B182" s="3" t="s">
        <v>187</v>
      </c>
      <c r="C182" s="3" t="s">
        <v>180</v>
      </c>
      <c r="D182" s="3" t="str">
        <f>VLOOKUP([1]datasetSummary!B182,[1]obisUUIDs!$V$2:$Z$387,4,)</f>
        <v>Occurrence of Eukaryotes in the size fraction &gt;300 micrometres, collected worldwide during the Tara Oceans expedition (2009-2013) using a Multinet and analysed on a ZooScan imaging platform</v>
      </c>
      <c r="E182" s="1" t="s">
        <v>194</v>
      </c>
    </row>
    <row r="183" spans="1:5" x14ac:dyDescent="0.25">
      <c r="A183" s="3">
        <v>184</v>
      </c>
      <c r="B183" s="3" t="s">
        <v>188</v>
      </c>
      <c r="C183" s="3" t="s">
        <v>180</v>
      </c>
      <c r="D183" s="3" t="str">
        <f>VLOOKUP([1]datasetSummary!B183,[1]obisUUIDs!$V$2:$Z$387,4,)</f>
        <v>Distribution of deep-sea sponges in the North Atlantic - Data from the SponGES project</v>
      </c>
      <c r="E183" s="1" t="s">
        <v>194</v>
      </c>
    </row>
  </sheetData>
  <autoFilter ref="A1:F183" xr:uid="{12D6BD39-6B79-4E20-AD1C-1336553EF7E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García</dc:creator>
  <cp:lastModifiedBy>Laura García</cp:lastModifiedBy>
  <dcterms:created xsi:type="dcterms:W3CDTF">2026-06-09T04:03:08Z</dcterms:created>
  <dcterms:modified xsi:type="dcterms:W3CDTF">2026-06-09T04:35:16Z</dcterms:modified>
</cp:coreProperties>
</file>